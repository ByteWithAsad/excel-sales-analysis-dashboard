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OneDrive\Desktop\dashboard in excel\"/>
    </mc:Choice>
  </mc:AlternateContent>
  <xr:revisionPtr revIDLastSave="0" documentId="13_ncr:1_{14BA9239-7CCB-4B8B-9973-BCE15033B4CD}" xr6:coauthVersionLast="47" xr6:coauthVersionMax="47" xr10:uidLastSave="{00000000-0000-0000-0000-000000000000}"/>
  <bookViews>
    <workbookView xWindow="-120" yWindow="-120" windowWidth="29040" windowHeight="15840" activeTab="4" xr2:uid="{00000000-000D-0000-FFFF-FFFF00000000}"/>
  </bookViews>
  <sheets>
    <sheet name="Sheet1" sheetId="5" r:id="rId1"/>
    <sheet name="Sheet2" sheetId="6" r:id="rId2"/>
    <sheet name="Data" sheetId="1" r:id="rId3"/>
    <sheet name="Questions &amp; KPIs" sheetId="2" r:id="rId4"/>
    <sheet name="Dashboard" sheetId="3" r:id="rId5"/>
  </sheets>
  <definedNames>
    <definedName name="_xlchart.v5.0" hidden="1">Sheet1!$F$101:$G$101</definedName>
    <definedName name="_xlchart.v5.1" hidden="1">Sheet1!$F$102:$G$161</definedName>
    <definedName name="_xlchart.v5.2" hidden="1">Sheet1!$H$101</definedName>
    <definedName name="_xlchart.v5.3" hidden="1">Sheet1!$H$102:$H$161</definedName>
    <definedName name="_xlchart.v5.4" hidden="1">Sheet1!$J$101:$K$101</definedName>
    <definedName name="_xlchart.v5.5" hidden="1">Sheet1!$J$102:$K$161</definedName>
    <definedName name="_xlchart.v5.6" hidden="1">Sheet1!$L$101</definedName>
    <definedName name="_xlchart.v5.7" hidden="1">Sheet1!$L$102:$L$161</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04" i="5" l="1"/>
  <c r="H104" i="5"/>
  <c r="K104" i="5"/>
  <c r="J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J105" i="5"/>
  <c r="K105" i="5"/>
  <c r="J106" i="5"/>
  <c r="K106" i="5"/>
  <c r="J107" i="5"/>
  <c r="K107" i="5"/>
  <c r="J108" i="5"/>
  <c r="K108" i="5"/>
  <c r="J109" i="5"/>
  <c r="K109" i="5"/>
  <c r="J110" i="5"/>
  <c r="K110" i="5"/>
  <c r="J111" i="5"/>
  <c r="K111" i="5"/>
  <c r="J112" i="5"/>
  <c r="K112" i="5"/>
  <c r="J113" i="5"/>
  <c r="K113" i="5"/>
  <c r="J114" i="5"/>
  <c r="K114" i="5"/>
  <c r="J115" i="5"/>
  <c r="K115" i="5"/>
  <c r="J116" i="5"/>
  <c r="K116" i="5"/>
  <c r="J117" i="5"/>
  <c r="K117" i="5"/>
  <c r="J118" i="5"/>
  <c r="K118" i="5"/>
  <c r="J119" i="5"/>
  <c r="K119" i="5"/>
  <c r="J120" i="5"/>
  <c r="K120" i="5"/>
  <c r="J121" i="5"/>
  <c r="K121" i="5"/>
  <c r="J122" i="5"/>
  <c r="K122" i="5"/>
  <c r="J123" i="5"/>
  <c r="K123" i="5"/>
  <c r="J124" i="5"/>
  <c r="K124" i="5"/>
  <c r="J125" i="5"/>
  <c r="K125" i="5"/>
  <c r="J126" i="5"/>
  <c r="K126" i="5"/>
  <c r="J127" i="5"/>
  <c r="K127" i="5"/>
  <c r="J128" i="5"/>
  <c r="K128" i="5"/>
  <c r="J129" i="5"/>
  <c r="K129" i="5"/>
  <c r="J130" i="5"/>
  <c r="K130" i="5"/>
  <c r="J131" i="5"/>
  <c r="K131" i="5"/>
  <c r="J132" i="5"/>
  <c r="K132" i="5"/>
  <c r="J133" i="5"/>
  <c r="K133" i="5"/>
  <c r="J134" i="5"/>
  <c r="K134" i="5"/>
  <c r="J135" i="5"/>
  <c r="K135" i="5"/>
  <c r="J136" i="5"/>
  <c r="K136" i="5"/>
  <c r="J137" i="5"/>
  <c r="K137" i="5"/>
  <c r="J138" i="5"/>
  <c r="K138" i="5"/>
  <c r="J139" i="5"/>
  <c r="K139" i="5"/>
  <c r="J140" i="5"/>
  <c r="K140" i="5"/>
  <c r="J141" i="5"/>
  <c r="J142" i="5"/>
  <c r="K142" i="5"/>
  <c r="J143" i="5"/>
  <c r="K143" i="5"/>
  <c r="J144" i="5"/>
  <c r="K144" i="5"/>
  <c r="J145" i="5"/>
  <c r="K145" i="5"/>
  <c r="J146" i="5"/>
  <c r="K146" i="5"/>
  <c r="J147" i="5"/>
  <c r="K147" i="5"/>
  <c r="J148" i="5"/>
  <c r="K148" i="5"/>
  <c r="J149" i="5"/>
  <c r="K149" i="5"/>
  <c r="J150" i="5"/>
  <c r="K150" i="5"/>
  <c r="J151" i="5"/>
  <c r="K151" i="5"/>
  <c r="J152" i="5"/>
  <c r="K152" i="5"/>
  <c r="J153" i="5"/>
  <c r="K153" i="5"/>
  <c r="J154" i="5"/>
  <c r="K154" i="5"/>
  <c r="J155" i="5"/>
  <c r="K155" i="5"/>
  <c r="J156" i="5"/>
  <c r="K156" i="5"/>
  <c r="J157" i="5"/>
  <c r="K157" i="5"/>
  <c r="J158" i="5"/>
  <c r="K158" i="5"/>
  <c r="J159" i="5"/>
  <c r="K159" i="5"/>
  <c r="J160" i="5"/>
  <c r="K160" i="5"/>
  <c r="J161" i="5"/>
  <c r="K161" i="5"/>
  <c r="J162" i="5"/>
  <c r="K162" i="5"/>
  <c r="J163" i="5"/>
  <c r="K163" i="5"/>
  <c r="J164" i="5"/>
  <c r="K164" i="5"/>
  <c r="J165" i="5"/>
  <c r="K165" i="5"/>
  <c r="J166" i="5"/>
  <c r="K166" i="5"/>
  <c r="J167" i="5"/>
  <c r="K167" i="5"/>
  <c r="J168" i="5"/>
  <c r="K168" i="5"/>
  <c r="J169" i="5"/>
  <c r="K169" i="5"/>
  <c r="J170" i="5"/>
  <c r="K170" i="5"/>
  <c r="J171" i="5"/>
  <c r="K171" i="5"/>
  <c r="J172" i="5"/>
  <c r="K172" i="5"/>
  <c r="J173" i="5"/>
  <c r="K173" i="5"/>
  <c r="J174" i="5"/>
  <c r="K174" i="5"/>
  <c r="J175" i="5"/>
  <c r="K175" i="5"/>
  <c r="J176" i="5"/>
  <c r="K176" i="5"/>
  <c r="J177" i="5"/>
  <c r="K177" i="5"/>
  <c r="J178" i="5"/>
  <c r="K178" i="5"/>
  <c r="J179" i="5"/>
  <c r="K179" i="5"/>
  <c r="J180" i="5"/>
  <c r="K180" i="5"/>
  <c r="J181" i="5"/>
  <c r="K181" i="5"/>
  <c r="J182" i="5"/>
  <c r="K182" i="5"/>
  <c r="J183" i="5"/>
  <c r="K183" i="5"/>
  <c r="J184" i="5"/>
  <c r="K184" i="5"/>
  <c r="J185" i="5"/>
  <c r="K185" i="5"/>
  <c r="J186" i="5"/>
  <c r="K186" i="5"/>
  <c r="J187" i="5"/>
  <c r="K187" i="5"/>
  <c r="F104" i="5"/>
  <c r="J103" i="5"/>
  <c r="F105" i="5"/>
  <c r="G105" i="5"/>
  <c r="H105" i="5"/>
  <c r="F106" i="5"/>
  <c r="G106" i="5"/>
  <c r="H106" i="5"/>
  <c r="F107" i="5"/>
  <c r="G107" i="5"/>
  <c r="H107" i="5"/>
  <c r="F108" i="5"/>
  <c r="G108" i="5"/>
  <c r="H108" i="5"/>
  <c r="F109" i="5"/>
  <c r="G109" i="5"/>
  <c r="H109" i="5"/>
  <c r="F110" i="5"/>
  <c r="G110" i="5"/>
  <c r="H110" i="5"/>
  <c r="F111" i="5"/>
  <c r="G111" i="5"/>
  <c r="H111" i="5"/>
  <c r="F112" i="5"/>
  <c r="G112" i="5"/>
  <c r="H112" i="5"/>
  <c r="F113" i="5"/>
  <c r="G113" i="5"/>
  <c r="H113" i="5"/>
  <c r="F114" i="5"/>
  <c r="G114" i="5"/>
  <c r="H114" i="5"/>
  <c r="F115" i="5"/>
  <c r="G115" i="5"/>
  <c r="H115" i="5"/>
  <c r="F116" i="5"/>
  <c r="G116" i="5"/>
  <c r="H116" i="5"/>
  <c r="F117" i="5"/>
  <c r="G117" i="5"/>
  <c r="H117" i="5"/>
  <c r="F118" i="5"/>
  <c r="G118" i="5"/>
  <c r="H118" i="5"/>
  <c r="F119" i="5"/>
  <c r="G119" i="5"/>
  <c r="H119" i="5"/>
  <c r="F120" i="5"/>
  <c r="G120" i="5"/>
  <c r="H120" i="5"/>
  <c r="F121" i="5"/>
  <c r="G121" i="5"/>
  <c r="H121" i="5"/>
  <c r="F122" i="5"/>
  <c r="G122" i="5"/>
  <c r="H122" i="5"/>
  <c r="F123" i="5"/>
  <c r="G123" i="5"/>
  <c r="H123" i="5"/>
  <c r="F124" i="5"/>
  <c r="G124" i="5"/>
  <c r="H124" i="5"/>
  <c r="F125" i="5"/>
  <c r="G125" i="5"/>
  <c r="H125" i="5"/>
  <c r="F126" i="5"/>
  <c r="G126" i="5"/>
  <c r="H126" i="5"/>
  <c r="F127" i="5"/>
  <c r="G127" i="5"/>
  <c r="H127" i="5"/>
  <c r="F128" i="5"/>
  <c r="G128" i="5"/>
  <c r="H128" i="5"/>
  <c r="F129" i="5"/>
  <c r="G129" i="5"/>
  <c r="H129" i="5"/>
  <c r="F130" i="5"/>
  <c r="G130" i="5"/>
  <c r="H130" i="5"/>
  <c r="F131" i="5"/>
  <c r="G131" i="5"/>
  <c r="H131" i="5"/>
  <c r="F132" i="5"/>
  <c r="G132" i="5"/>
  <c r="H132" i="5"/>
  <c r="F133" i="5"/>
  <c r="G133" i="5"/>
  <c r="H133" i="5"/>
  <c r="F134" i="5"/>
  <c r="G134" i="5"/>
  <c r="H134" i="5"/>
  <c r="F135" i="5"/>
  <c r="G135" i="5"/>
  <c r="H135" i="5"/>
  <c r="F136" i="5"/>
  <c r="G136" i="5"/>
  <c r="H136" i="5"/>
  <c r="F137" i="5"/>
  <c r="G137" i="5"/>
  <c r="H137" i="5"/>
  <c r="F138" i="5"/>
  <c r="G138" i="5"/>
  <c r="H138" i="5"/>
  <c r="F139" i="5"/>
  <c r="G139" i="5"/>
  <c r="H139" i="5"/>
  <c r="F140" i="5"/>
  <c r="G140" i="5"/>
  <c r="H140" i="5"/>
  <c r="F141" i="5"/>
  <c r="H141" i="5"/>
  <c r="F142" i="5"/>
  <c r="G142" i="5"/>
  <c r="H142" i="5"/>
  <c r="F143" i="5"/>
  <c r="G143" i="5"/>
  <c r="H143" i="5"/>
  <c r="F144" i="5"/>
  <c r="G144" i="5"/>
  <c r="H144" i="5"/>
  <c r="F145" i="5"/>
  <c r="G145" i="5"/>
  <c r="H145" i="5"/>
  <c r="F146" i="5"/>
  <c r="G146" i="5"/>
  <c r="H146" i="5"/>
  <c r="F147" i="5"/>
  <c r="G147" i="5"/>
  <c r="H147" i="5"/>
  <c r="F148" i="5"/>
  <c r="G148" i="5"/>
  <c r="H148" i="5"/>
  <c r="F149" i="5"/>
  <c r="G149" i="5"/>
  <c r="H149" i="5"/>
  <c r="F150" i="5"/>
  <c r="G150" i="5"/>
  <c r="H150" i="5"/>
  <c r="F151" i="5"/>
  <c r="G151" i="5"/>
  <c r="H151" i="5"/>
  <c r="F152" i="5"/>
  <c r="G152" i="5"/>
  <c r="H152" i="5"/>
  <c r="F153" i="5"/>
  <c r="G153" i="5"/>
  <c r="H153" i="5"/>
  <c r="F154" i="5"/>
  <c r="G154" i="5"/>
  <c r="H154" i="5"/>
  <c r="F155" i="5"/>
  <c r="G155" i="5"/>
  <c r="H155" i="5"/>
  <c r="F156" i="5"/>
  <c r="G156" i="5"/>
  <c r="H156" i="5"/>
  <c r="F157" i="5"/>
  <c r="G157" i="5"/>
  <c r="H157" i="5"/>
  <c r="F158" i="5"/>
  <c r="G158" i="5"/>
  <c r="H158" i="5"/>
  <c r="F159" i="5"/>
  <c r="G159" i="5"/>
  <c r="H159" i="5"/>
  <c r="F160" i="5"/>
  <c r="G160" i="5"/>
  <c r="H160" i="5"/>
  <c r="F161" i="5"/>
  <c r="G161" i="5"/>
  <c r="H161" i="5"/>
  <c r="F162" i="5"/>
  <c r="G162" i="5"/>
  <c r="H162" i="5"/>
  <c r="F163" i="5"/>
  <c r="G163" i="5"/>
  <c r="H163" i="5"/>
  <c r="F164" i="5"/>
  <c r="G164" i="5"/>
  <c r="H164" i="5"/>
  <c r="F165" i="5"/>
  <c r="G165" i="5"/>
  <c r="H165" i="5"/>
  <c r="F166" i="5"/>
  <c r="G166" i="5"/>
  <c r="H166" i="5"/>
  <c r="F167" i="5"/>
  <c r="G167" i="5"/>
  <c r="H167" i="5"/>
  <c r="F168" i="5"/>
  <c r="G168" i="5"/>
  <c r="H168" i="5"/>
  <c r="F169" i="5"/>
  <c r="G169" i="5"/>
  <c r="H169" i="5"/>
  <c r="F170" i="5"/>
  <c r="G170" i="5"/>
  <c r="H170" i="5"/>
  <c r="F171" i="5"/>
  <c r="G171" i="5"/>
  <c r="H171" i="5"/>
  <c r="F172" i="5"/>
  <c r="G172" i="5"/>
  <c r="H172" i="5"/>
  <c r="F173" i="5"/>
  <c r="G173" i="5"/>
  <c r="H173" i="5"/>
  <c r="F174" i="5"/>
  <c r="G174" i="5"/>
  <c r="H174" i="5"/>
  <c r="F175" i="5"/>
  <c r="G175" i="5"/>
  <c r="H175" i="5"/>
  <c r="F176" i="5"/>
  <c r="G176" i="5"/>
  <c r="H176" i="5"/>
  <c r="F177" i="5"/>
  <c r="G177" i="5"/>
  <c r="H177" i="5"/>
  <c r="F178" i="5"/>
  <c r="G178" i="5"/>
  <c r="H178" i="5"/>
  <c r="F179" i="5"/>
  <c r="G179" i="5"/>
  <c r="H179" i="5"/>
  <c r="F180" i="5"/>
  <c r="G180" i="5"/>
  <c r="H180" i="5"/>
  <c r="F181" i="5"/>
  <c r="G181" i="5"/>
  <c r="H181" i="5"/>
  <c r="F182" i="5"/>
  <c r="G182" i="5"/>
  <c r="H182" i="5"/>
  <c r="F183" i="5"/>
  <c r="G183" i="5"/>
  <c r="H183" i="5"/>
  <c r="F184" i="5"/>
  <c r="G184" i="5"/>
  <c r="H184" i="5"/>
  <c r="F185" i="5"/>
  <c r="G185" i="5"/>
  <c r="H185" i="5"/>
  <c r="F186" i="5"/>
  <c r="G186" i="5"/>
  <c r="H186" i="5"/>
  <c r="F187" i="5"/>
  <c r="G187" i="5"/>
  <c r="H187" i="5"/>
  <c r="G104" i="5"/>
  <c r="F103" i="5"/>
  <c r="J5" i="6"/>
  <c r="K5" i="6"/>
  <c r="L5" i="6"/>
  <c r="H6" i="6"/>
  <c r="H7" i="6"/>
  <c r="H8" i="6"/>
  <c r="H9" i="6"/>
  <c r="I6" i="6"/>
  <c r="J6" i="6"/>
  <c r="K6" i="6"/>
  <c r="L6" i="6"/>
  <c r="I7" i="6"/>
  <c r="J7" i="6"/>
  <c r="K7" i="6"/>
  <c r="L7" i="6"/>
  <c r="I8" i="6"/>
  <c r="J8" i="6"/>
  <c r="K8" i="6"/>
  <c r="L8" i="6"/>
  <c r="I9" i="6"/>
  <c r="J9" i="6"/>
  <c r="K9" i="6"/>
  <c r="L9" i="6"/>
  <c r="J4" i="6"/>
  <c r="K4" i="6"/>
  <c r="L4" i="6"/>
  <c r="I4" i="6"/>
  <c r="I5" i="6"/>
  <c r="H5" i="6"/>
  <c r="K5" i="5"/>
  <c r="J5" i="5"/>
  <c r="I5" i="5"/>
  <c r="H5" i="5"/>
  <c r="G5" i="5"/>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c r="O2323" i="1" a="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a="1"/>
  <c r="O2295" i="1" s="1"/>
  <c r="N2295" i="1"/>
  <c r="M2295" i="1"/>
  <c r="O2294" i="1" a="1"/>
  <c r="O2294" i="1" s="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c r="O2136" i="1" a="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a="1"/>
  <c r="O1954" i="1" s="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a="1"/>
  <c r="O1905" i="1" s="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a="1"/>
  <c r="O1804" i="1" s="1"/>
  <c r="N1804" i="1"/>
  <c r="M1804" i="1"/>
  <c r="O1803" i="1" a="1"/>
  <c r="O1803" i="1" s="1"/>
  <c r="N1803" i="1"/>
  <c r="M1803" i="1"/>
  <c r="O1802" i="1" a="1"/>
  <c r="O1802" i="1" s="1"/>
  <c r="N1802" i="1"/>
  <c r="M1802" i="1"/>
  <c r="O1801" i="1"/>
  <c r="O1801" i="1" a="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c r="O1382" i="1" a="1"/>
  <c r="N1382" i="1"/>
  <c r="M1382" i="1"/>
  <c r="O1381" i="1"/>
  <c r="O1381" i="1" a="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c r="O1356" i="1" a="1"/>
  <c r="N1356" i="1"/>
  <c r="M1356" i="1"/>
  <c r="O1355" i="1"/>
  <c r="O1355" i="1" a="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a="1"/>
  <c r="O979" i="1" s="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a="1"/>
  <c r="O907" i="1" s="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c r="O891" i="1" a="1"/>
  <c r="N891" i="1"/>
  <c r="M891" i="1"/>
  <c r="O890" i="1"/>
  <c r="O890" i="1" a="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c r="O865" i="1" a="1"/>
  <c r="N865" i="1"/>
  <c r="M865" i="1"/>
  <c r="O864" i="1"/>
  <c r="O864" i="1" a="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c r="O818" i="1" a="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c r="O713" i="1" a="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c r="O693" i="1" a="1"/>
  <c r="N693" i="1"/>
  <c r="M693" i="1"/>
  <c r="O692" i="1"/>
  <c r="O692" i="1" a="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c r="O685" i="1" a="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c r="O599" i="1" a="1"/>
  <c r="N599" i="1"/>
  <c r="M599" i="1"/>
  <c r="O598" i="1"/>
  <c r="O598" i="1" a="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c r="O573" i="1" a="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a="1"/>
  <c r="O447" i="1" s="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a="1"/>
  <c r="O428" i="1" s="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a="1"/>
  <c r="O403" i="1" s="1"/>
  <c r="N403" i="1"/>
  <c r="M403" i="1"/>
  <c r="O402" i="1" a="1"/>
  <c r="O402" i="1" s="1"/>
  <c r="N402" i="1"/>
  <c r="M402" i="1"/>
  <c r="O401" i="1" a="1"/>
  <c r="O401" i="1" s="1"/>
  <c r="N401" i="1"/>
  <c r="M401" i="1"/>
  <c r="O400" i="1"/>
  <c r="O400" i="1" a="1"/>
  <c r="N400" i="1"/>
  <c r="M400" i="1"/>
  <c r="O399" i="1" a="1"/>
  <c r="O399" i="1" s="1"/>
  <c r="N399" i="1"/>
  <c r="M399" i="1"/>
  <c r="O398" i="1" a="1"/>
  <c r="O398" i="1" s="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c r="O299" i="1" a="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a="1"/>
  <c r="O290" i="1" s="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a="1"/>
  <c r="O192" i="1" s="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c r="O79" i="1" a="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a="1"/>
  <c r="O61" i="1" s="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a="1"/>
  <c r="O41" i="1" s="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<sst xmlns="http://schemas.openxmlformats.org/spreadsheetml/2006/main" count="14642" uniqueCount="2549">
  <si>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</si>
  <si>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</si>
  <si>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</si>
  <si>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</si>
  <si>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</si>
  <si>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</si>
  <si>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</si>
  <si>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</si>
  <si>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</si>
  <si>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</si>
  <si>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</si>
  <si>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</si>
  <si>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</si>
  <si>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</si>
  <si>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</si>
  <si>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</si>
  <si>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</si>
  <si>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</si>
  <si>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</si>
  <si>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</si>
  <si>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</si>
  <si>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</si>
  <si>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</si>
  <si>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</si>
  <si>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</si>
  <si>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</si>
  <si>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</si>
  <si>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</si>
  <si>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</si>
  <si>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</si>
  <si>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</si>
  <si>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</si>
  <si>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</si>
  <si>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</si>
  <si>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</si>
  <si>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</si>
  <si>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</si>
  <si>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</si>
  <si>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</si>
  <si>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</si>
  <si>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</si>
  <si>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</si>
  <si>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</si>
  <si>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</si>
  <si>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</si>
  <si>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</si>
  <si>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</si>
  <si>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</si>
  <si>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</si>
  <si>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</si>
  <si>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</si>
  <si>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</si>
  <si>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</si>
  <si>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</si>
  <si>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</si>
  <si>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</si>
  <si>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</si>
  <si>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</si>
  <si>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</si>
  <si>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</si>
  <si>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</si>
  <si>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</si>
  <si>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</si>
  <si>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</si>
  <si>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</si>
  <si>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</si>
  <si>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</si>
  <si>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</si>
  <si>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</si>
  <si>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</si>
  <si>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</si>
  <si>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</si>
  <si>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</si>
  <si>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</si>
  <si>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</si>
  <si>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</si>
  <si>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</si>
  <si>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</si>
  <si>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</si>
  <si>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</si>
  <si>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</si>
  <si>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</si>
  <si>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</si>
  <si>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</si>
  <si>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</si>
  <si>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</si>
  <si>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</si>
  <si>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</si>
  <si>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</si>
  <si>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</si>
  <si>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</si>
  <si>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</si>
  <si>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</si>
  <si>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</si>
  <si>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</si>
  <si>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</si>
  <si>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</si>
  <si>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</si>
  <si>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</si>
  <si>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</si>
  <si>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</si>
  <si>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</si>
  <si>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</si>
  <si>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</si>
  <si>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</si>
  <si>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</si>
  <si>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</si>
  <si>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</si>
  <si>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</si>
  <si>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</si>
  <si>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</si>
  <si>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</si>
  <si>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</si>
  <si>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</si>
  <si>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</si>
  <si>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</si>
  <si>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</si>
  <si>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</si>
  <si>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</si>
  <si>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</si>
  <si>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</si>
  <si>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</si>
  <si>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</si>
  <si>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</si>
  <si>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</si>
  <si>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</si>
  <si>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</si>
  <si>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</si>
  <si>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</si>
  <si>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</si>
  <si>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</si>
  <si>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</si>
  <si>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</si>
  <si>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</si>
  <si>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</si>
  <si>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</si>
  <si>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</si>
  <si>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</si>
  <si>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</si>
  <si>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</si>
  <si>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</si>
  <si>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</si>
  <si>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</si>
  <si>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</si>
  <si>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</si>
  <si>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</si>
  <si>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</si>
  <si>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</si>
  <si>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</si>
  <si>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</si>
  <si>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</si>
  <si>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</si>
  <si>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</si>
  <si>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</si>
  <si>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</si>
  <si>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</si>
  <si>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</si>
  <si>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</si>
  <si>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</si>
  <si>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</si>
  <si>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</si>
  <si>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</si>
  <si>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</si>
  <si>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</si>
  <si>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</si>
  <si>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</si>
  <si>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</si>
  <si>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</si>
  <si>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</si>
  <si>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</si>
  <si>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</si>
  <si>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</si>
  <si>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</si>
  <si>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</si>
  <si>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</si>
  <si>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</si>
  <si>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</si>
  <si>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</si>
  <si>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</si>
  <si>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</si>
  <si>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</si>
  <si>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</si>
  <si>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</si>
  <si>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</si>
  <si>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</si>
  <si>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</si>
  <si>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</si>
  <si>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</si>
  <si>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</si>
  <si>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</si>
  <si>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</si>
  <si>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</si>
  <si>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</si>
  <si>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</si>
  <si>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</si>
  <si>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</si>
  <si>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</si>
  <si>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</si>
  <si>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</si>
  <si>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</si>
  <si>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</si>
  <si>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</si>
  <si>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</si>
  <si>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</si>
  <si>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</si>
  <si>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</si>
  <si>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</si>
  <si>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</si>
  <si>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</si>
  <si>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</si>
  <si>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</si>
  <si>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</si>
  <si>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</si>
  <si>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</si>
  <si>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</si>
  <si>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</si>
  <si>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</si>
  <si>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</si>
  <si>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</si>
  <si>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</si>
  <si>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</si>
  <si>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</si>
  <si>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</si>
  <si>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</si>
  <si>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</si>
  <si>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</si>
  <si>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</si>
  <si>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</si>
  <si>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</si>
  <si>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</si>
  <si>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</si>
  <si>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</si>
  <si>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</si>
  <si>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</si>
  <si>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</si>
  <si>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</si>
  <si>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</si>
  <si>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</si>
  <si>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</si>
  <si>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</si>
  <si>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</si>
  <si>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</si>
  <si>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</si>
  <si>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</si>
  <si>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</si>
  <si>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</si>
  <si>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</si>
  <si>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</si>
  <si>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</si>
  <si>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</si>
  <si>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</si>
  <si>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</si>
  <si>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</si>
  <si>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</si>
  <si>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</si>
  <si>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</si>
  <si>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</si>
  <si>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</si>
  <si>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</si>
  <si>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</si>
  <si>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</si>
  <si>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</si>
  <si>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</si>
  <si>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</si>
  <si>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</si>
  <si>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</si>
  <si>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</si>
  <si>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</si>
  <si>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</si>
  <si>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</si>
  <si>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</si>
  <si>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</si>
  <si>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</si>
  <si>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</si>
  <si>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</si>
  <si>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</si>
  <si>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</si>
  <si>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</si>
  <si>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</si>
  <si>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</si>
  <si>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</si>
  <si>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</si>
  <si>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</si>
  <si>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</si>
  <si>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</si>
  <si>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</si>
  <si>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</si>
  <si>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</si>
  <si>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</si>
  <si>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</si>
  <si>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</si>
  <si>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</si>
  <si>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</si>
  <si>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</si>
  <si>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</si>
  <si>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</si>
  <si>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</si>
  <si>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</si>
  <si>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</si>
  <si>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</si>
  <si>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</si>
  <si>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</si>
  <si>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</si>
  <si>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</si>
  <si>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</si>
  <si>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</si>
  <si>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</si>
  <si>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</si>
  <si>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</si>
  <si>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</si>
  <si>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</si>
  <si>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</si>
  <si>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</si>
  <si>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</si>
  <si>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</si>
  <si>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</si>
  <si>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</si>
  <si>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</si>
  <si>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</si>
  <si>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</si>
  <si>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</si>
  <si>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</si>
  <si>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</si>
  <si>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</si>
  <si>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</si>
  <si>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</si>
  <si>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</si>
  <si>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</si>
  <si>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</si>
  <si>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</si>
  <si>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</si>
  <si>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</si>
  <si>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</si>
  <si>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</si>
  <si>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</si>
  <si>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</si>
  <si>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</si>
  <si>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</si>
  <si>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</si>
  <si>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</si>
  <si>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</si>
  <si>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</si>
  <si>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</si>
  <si>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</si>
  <si>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</si>
  <si>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</si>
  <si>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</si>
  <si>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</si>
  <si>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</si>
  <si>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</si>
  <si>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</si>
  <si>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</si>
  <si>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</si>
  <si>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</si>
  <si>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</si>
  <si>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</si>
  <si>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</si>
  <si>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</si>
  <si>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</si>
  <si>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</si>
  <si>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</si>
  <si>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</si>
  <si>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</si>
  <si>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</si>
  <si>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</si>
  <si>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</si>
  <si>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</si>
  <si>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</si>
  <si>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</si>
  <si>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</si>
  <si>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</si>
  <si>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</si>
  <si>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</si>
  <si>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</si>
  <si>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</si>
  <si>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</si>
  <si>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</si>
  <si>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</si>
  <si>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</si>
  <si>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</si>
  <si>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</si>
  <si>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</si>
  <si>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</si>
  <si>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</si>
  <si>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</si>
  <si>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</si>
  <si>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</si>
  <si>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</si>
  <si>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</si>
  <si>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</si>
  <si>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</si>
  <si>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</si>
  <si>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</si>
  <si>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</si>
  <si>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</si>
  <si>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</si>
  <si>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</si>
  <si>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</si>
  <si>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</si>
  <si>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</si>
  <si>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</si>
  <si>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</si>
  <si>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</si>
  <si>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</si>
  <si>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</si>
  <si>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</si>
  <si>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</si>
  <si>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</si>
  <si>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</si>
  <si>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</si>
  <si>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</si>
  <si>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</si>
  <si>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</si>
  <si>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</si>
  <si>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</si>
  <si>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</si>
  <si>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</si>
  <si>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</si>
  <si>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</si>
  <si>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</si>
  <si>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</si>
  <si>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</si>
  <si>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</si>
  <si>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</si>
  <si>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</si>
  <si>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</si>
  <si>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</si>
  <si>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</si>
  <si>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</si>
  <si>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</si>
  <si>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</si>
  <si>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</si>
  <si>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</si>
  <si>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</si>
  <si>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</si>
  <si>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</si>
  <si>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</si>
  <si>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</si>
  <si>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</si>
  <si>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</si>
  <si>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</si>
  <si>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</si>
  <si>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</si>
  <si>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</si>
  <si>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</si>
  <si>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</si>
  <si>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</si>
  <si>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</si>
  <si>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</si>
  <si>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</si>
  <si>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</si>
  <si>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</si>
  <si>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</si>
  <si>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</si>
  <si>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</si>
  <si>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</si>
  <si>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</si>
  <si>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</si>
  <si>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</si>
  <si>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</si>
  <si>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</si>
  <si>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</si>
  <si>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</si>
  <si>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</si>
  <si>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</si>
  <si>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</si>
  <si>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</si>
  <si>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</si>
  <si>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</si>
  <si>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</si>
  <si>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</si>
  <si>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</si>
  <si>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</si>
  <si>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</si>
  <si>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</si>
  <si>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</si>
  <si>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</si>
  <si>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</si>
  <si>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</si>
  <si>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</si>
  <si>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</si>
  <si>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</si>
  <si>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</si>
  <si>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</si>
  <si>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</si>
  <si>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</si>
  <si>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</si>
  <si>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</si>
  <si>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</si>
  <si>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</si>
  <si>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</si>
  <si>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</si>
  <si>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</si>
  <si>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</si>
  <si>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</si>
  <si>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</si>
  <si>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</si>
  <si>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</si>
  <si>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</si>
  <si>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</si>
  <si>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</si>
  <si>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</si>
  <si>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</si>
  <si>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</si>
  <si>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</si>
  <si>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</si>
  <si>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</si>
  <si>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</si>
  <si>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</si>
  <si>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</si>
  <si>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</si>
  <si>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</si>
  <si>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</si>
  <si>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</si>
  <si>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</si>
  <si>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</si>
  <si>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</si>
  <si>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</si>
  <si>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</si>
  <si>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</si>
  <si>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</si>
  <si>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</si>
  <si>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</si>
  <si>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</si>
  <si>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</si>
  <si>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</si>
  <si>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</si>
  <si>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</si>
  <si>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</si>
  <si>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</si>
  <si>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</si>
  <si>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</si>
  <si>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</si>
  <si>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</si>
  <si>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</si>
  <si>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</si>
  <si>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</si>
  <si>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</si>
  <si>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</si>
  <si>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</si>
  <si>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</si>
  <si>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</si>
  <si>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</si>
  <si>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</si>
  <si>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</si>
  <si>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</si>
  <si>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</si>
  <si>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</si>
  <si>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</si>
  <si>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</si>
  <si>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</si>
  <si>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</si>
  <si>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</si>
  <si>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</si>
  <si>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</si>
  <si>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</si>
  <si>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</si>
  <si>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</si>
  <si>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</si>
  <si>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</si>
  <si>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</si>
  <si>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</si>
  <si>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</si>
  <si>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</si>
  <si>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</si>
  <si>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</si>
  <si>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</si>
  <si>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</si>
  <si>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</si>
  <si>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</si>
  <si>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</si>
  <si>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</si>
  <si>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</si>
  <si>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</si>
  <si>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</si>
  <si>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</si>
  <si>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</si>
  <si>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</si>
  <si>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</si>
  <si>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</si>
  <si>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</si>
  <si>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</si>
  <si>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</si>
  <si>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</si>
  <si>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</si>
  <si>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</si>
  <si>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</si>
  <si>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</si>
  <si>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</si>
  <si>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</si>
  <si>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</si>
  <si>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</si>
  <si>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</si>
  <si>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</si>
  <si>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</si>
  <si>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</si>
  <si>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</si>
  <si>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</si>
  <si>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</si>
  <si>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</si>
  <si>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</si>
  <si>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</si>
  <si>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</si>
  <si>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</si>
  <si>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</si>
  <si>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</si>
  <si>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</si>
  <si>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</si>
  <si>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</si>
  <si>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</si>
  <si>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</si>
  <si>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</si>
  <si>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</si>
  <si>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</si>
  <si>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</si>
  <si>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</si>
  <si>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</si>
  <si>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</si>
  <si>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</si>
  <si>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</si>
  <si>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</si>
  <si>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</si>
  <si>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</si>
  <si>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</si>
  <si>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</si>
  <si>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</si>
  <si>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</si>
  <si>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</si>
  <si>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</si>
  <si>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</si>
  <si>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</si>
  <si>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</si>
  <si>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</si>
  <si>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</si>
  <si>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</si>
  <si>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</si>
  <si>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</si>
  <si>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</si>
  <si>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</si>
  <si>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</si>
  <si>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</si>
  <si>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</si>
  <si>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</si>
  <si>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</si>
  <si>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</si>
  <si>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</si>
  <si>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</si>
  <si>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</si>
  <si>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</si>
  <si>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</si>
  <si>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</si>
  <si>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</si>
  <si>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</si>
  <si>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</si>
  <si>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</si>
  <si>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</si>
  <si>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</si>
  <si>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</si>
  <si>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</si>
  <si>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</si>
  <si>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</si>
  <si>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</si>
  <si>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</si>
  <si>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</si>
  <si>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</si>
  <si>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</si>
  <si>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</si>
  <si>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</si>
  <si>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</si>
  <si>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</si>
  <si>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</si>
  <si>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</si>
  <si>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</si>
  <si>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</si>
  <si>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</si>
  <si>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</si>
  <si>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</si>
  <si>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</si>
  <si>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</si>
  <si>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</si>
  <si>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</si>
  <si>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</si>
  <si>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</si>
  <si>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</si>
  <si>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</si>
  <si>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</si>
  <si>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</si>
  <si>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</si>
  <si>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</si>
  <si>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</si>
  <si>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</si>
  <si>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</si>
  <si>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</si>
  <si>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</si>
  <si>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</si>
  <si>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</si>
  <si>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</si>
  <si>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</si>
  <si>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</si>
  <si>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</si>
  <si>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</si>
  <si>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</si>
  <si>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</si>
  <si>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</si>
  <si>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</si>
  <si>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</si>
  <si>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</si>
  <si>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</si>
  <si>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</si>
  <si>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</si>
  <si>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</si>
  <si>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</si>
  <si>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</si>
  <si>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</si>
  <si>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</si>
  <si>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</si>
  <si>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</si>
  <si>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</si>
  <si>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</si>
  <si>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</si>
  <si>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</si>
  <si>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</si>
  <si>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</si>
  <si>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</si>
  <si>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</si>
  <si>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</si>
  <si>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</si>
  <si>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</si>
  <si>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</si>
  <si>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</si>
  <si>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</si>
  <si>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</si>
  <si>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</si>
  <si>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</si>
  <si>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</si>
  <si>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</si>
  <si>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</si>
  <si>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</si>
  <si>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</si>
  <si>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</si>
  <si>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</si>
  <si>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</si>
  <si>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</si>
  <si>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</si>
  <si>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</si>
  <si>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</si>
  <si>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</si>
  <si>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</si>
  <si>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</si>
  <si>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</si>
  <si>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</si>
  <si>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</si>
  <si>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</si>
  <si>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</si>
  <si>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</si>
  <si>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</si>
  <si>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</si>
  <si>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</si>
  <si>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</si>
  <si>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</si>
  <si>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</si>
  <si>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</si>
  <si>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</si>
  <si>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</si>
  <si>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</si>
  <si>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</si>
  <si>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</si>
  <si>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</si>
  <si>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</si>
  <si>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</si>
  <si>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</si>
  <si>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</si>
  <si>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</si>
  <si>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</si>
  <si>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</si>
  <si>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</si>
  <si>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</si>
  <si>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</si>
  <si>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</si>
  <si>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</si>
  <si>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</si>
  <si>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</si>
  <si>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</si>
  <si>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</si>
  <si>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</si>
  <si>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</si>
  <si>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</si>
  <si>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</si>
  <si>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</si>
  <si>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</si>
  <si>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</si>
  <si>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</si>
  <si>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</si>
  <si>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</si>
  <si>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</si>
  <si>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</si>
  <si>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</si>
  <si>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</si>
  <si>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</si>
  <si>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</si>
  <si>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</si>
  <si>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</si>
  <si>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</si>
  <si>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</si>
  <si>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</si>
  <si>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</si>
  <si>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</si>
  <si>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</si>
  <si>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</si>
  <si>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</si>
  <si>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</si>
  <si>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</si>
  <si>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</si>
  <si>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</si>
  <si>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</si>
  <si>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</si>
  <si>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</si>
  <si>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</si>
  <si>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</si>
  <si>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</si>
  <si>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</si>
  <si>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</si>
  <si>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</si>
  <si>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</si>
  <si>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</si>
  <si>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</si>
  <si>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</si>
  <si>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</si>
  <si>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</si>
  <si>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</si>
  <si>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</si>
  <si>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</si>
  <si>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</si>
  <si>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</si>
  <si>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</si>
  <si>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</si>
  <si>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</si>
  <si>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</si>
  <si>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</si>
  <si>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</si>
  <si>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</si>
  <si>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</si>
  <si>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</si>
  <si>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</si>
  <si>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</si>
  <si>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</si>
  <si>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</si>
  <si>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</si>
  <si>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</si>
  <si>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</si>
  <si>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</si>
  <si>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</si>
  <si>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</si>
  <si>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</si>
  <si>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</si>
  <si>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</si>
  <si>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</si>
  <si>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</si>
  <si>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</si>
  <si>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</si>
  <si>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</si>
  <si>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</si>
  <si>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</si>
  <si>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</si>
  <si>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</si>
  <si>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</si>
  <si>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</si>
  <si>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</si>
  <si>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</si>
  <si>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</si>
  <si>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</si>
  <si>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</si>
  <si>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</si>
  <si>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</si>
  <si>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</si>
  <si>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</si>
  <si>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</si>
  <si>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</si>
  <si>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</si>
  <si>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</si>
  <si>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</si>
  <si>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</si>
  <si>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</si>
  <si>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</si>
  <si>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</si>
  <si>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</si>
  <si>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</si>
  <si>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</si>
  <si>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</si>
  <si>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</si>
  <si>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</si>
  <si>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</si>
  <si>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</si>
  <si>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</si>
  <si>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</si>
  <si>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</si>
  <si>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</si>
  <si>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</si>
  <si>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</si>
  <si>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</si>
  <si>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</si>
  <si>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</si>
  <si>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</si>
  <si>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</si>
  <si>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</si>
  <si>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</si>
  <si>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</si>
  <si>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</si>
  <si>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</si>
  <si>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</si>
  <si>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</si>
  <si>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</si>
  <si>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</si>
  <si>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</si>
  <si>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</si>
  <si>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</si>
  <si>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</si>
  <si>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</si>
  <si>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</si>
  <si>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</si>
  <si>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</si>
  <si>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</si>
  <si>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</si>
  <si>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</si>
  <si>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</si>
  <si>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</si>
  <si>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</si>
  <si>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</si>
  <si>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</si>
  <si>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</si>
  <si>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</si>
  <si>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</si>
  <si>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</si>
  <si>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</si>
  <si>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</si>
  <si>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</si>
  <si>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</si>
  <si>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</si>
  <si>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</si>
  <si>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</si>
  <si>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</si>
  <si>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</si>
  <si>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</si>
  <si>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</si>
  <si>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</si>
  <si>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</si>
  <si>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</si>
  <si>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</si>
  <si>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</si>
  <si>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</si>
  <si>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</si>
  <si>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</si>
  <si>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</si>
  <si>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</si>
  <si>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</si>
  <si>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</si>
  <si>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</si>
  <si>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</si>
  <si>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</si>
  <si>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</si>
  <si>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</si>
  <si>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</si>
  <si>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</si>
  <si>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</si>
  <si>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</si>
  <si>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</si>
  <si>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</si>
  <si>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</si>
  <si>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</si>
  <si>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</si>
  <si>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</si>
  <si>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</si>
  <si>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</si>
  <si>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</si>
  <si>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</si>
  <si>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</si>
  <si>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</si>
  <si>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</si>
  <si>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</si>
  <si>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</si>
  <si>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</si>
  <si>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</si>
  <si>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</si>
  <si>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</si>
  <si>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</si>
  <si>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</si>
  <si>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</si>
  <si>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</si>
  <si>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</si>
  <si>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</si>
  <si>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</si>
  <si>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</si>
  <si>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</si>
  <si>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</si>
  <si>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</si>
  <si>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</si>
  <si>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</si>
  <si>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</si>
  <si>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</si>
  <si>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</si>
  <si>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</si>
  <si>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</si>
  <si>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</si>
  <si>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</si>
  <si>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</si>
  <si>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</si>
  <si>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</si>
  <si>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</si>
  <si>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</si>
  <si>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</si>
  <si>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</si>
  <si>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</si>
  <si>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</si>
  <si>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</si>
  <si>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</si>
  <si>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</si>
  <si>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</si>
  <si>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</si>
  <si>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</si>
  <si>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</si>
  <si>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</si>
  <si>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</si>
  <si>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</si>
  <si>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</si>
  <si>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</si>
  <si>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</si>
  <si>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</si>
  <si>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</si>
  <si>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</si>
  <si>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</si>
  <si>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</si>
  <si>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</si>
  <si>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</si>
  <si>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</si>
  <si>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</si>
  <si>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</si>
  <si>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</si>
  <si>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</si>
  <si>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</si>
  <si>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</si>
  <si>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</si>
  <si>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</si>
  <si>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</si>
  <si>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</si>
  <si>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</si>
  <si>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</si>
  <si>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</si>
  <si>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</si>
  <si>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</si>
  <si>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</si>
  <si>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</si>
  <si>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</si>
  <si>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</si>
  <si>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</si>
  <si>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</si>
  <si>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</si>
  <si>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</si>
  <si>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</si>
  <si>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</si>
  <si>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</si>
  <si>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</si>
  <si>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</si>
  <si>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</si>
  <si>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</si>
  <si>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</si>
  <si>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</si>
  <si>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</si>
  <si>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</si>
  <si>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</si>
  <si>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</si>
  <si>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</si>
  <si>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</si>
  <si>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</si>
  <si>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</si>
  <si>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</si>
  <si>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</si>
  <si>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</si>
  <si>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</si>
  <si>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</si>
  <si>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</si>
  <si>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</si>
  <si>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</si>
  <si>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</si>
  <si>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</si>
  <si>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</si>
  <si>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</si>
  <si>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</si>
  <si>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</si>
  <si>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</si>
  <si>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</si>
  <si>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</si>
  <si>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</si>
  <si>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</si>
  <si>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</si>
  <si>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</si>
  <si>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</si>
  <si>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</si>
  <si>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</si>
  <si>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</si>
  <si>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</si>
  <si>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</si>
  <si>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</si>
  <si>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</si>
  <si>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</si>
  <si>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</si>
  <si>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</si>
  <si>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</si>
  <si>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</si>
  <si>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</si>
  <si>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</si>
  <si>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</si>
  <si>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</si>
  <si>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</si>
  <si>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</si>
  <si>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</si>
  <si>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</si>
  <si>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</si>
  <si>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</si>
  <si>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</si>
  <si>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</si>
  <si>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</si>
  <si>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</si>
  <si>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</si>
  <si>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</si>
  <si>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</si>
  <si>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</si>
  <si>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</si>
  <si>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</si>
  <si>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</si>
  <si>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</si>
  <si>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</si>
  <si>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</si>
  <si>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</si>
  <si>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</si>
  <si>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</si>
  <si>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</si>
  <si>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</si>
  <si>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</si>
  <si>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</si>
  <si>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</si>
  <si>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</si>
  <si>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</si>
  <si>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</si>
  <si>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</si>
  <si>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</si>
  <si>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</si>
  <si>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</si>
  <si>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</si>
  <si>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</si>
  <si>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</si>
  <si>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</si>
  <si>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</si>
  <si>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</si>
  <si>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</si>
  <si>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</si>
  <si>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</si>
  <si>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</si>
  <si>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</si>
  <si>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</si>
  <si>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</si>
  <si>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</si>
  <si>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</si>
  <si>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</si>
  <si>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</si>
  <si>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</si>
  <si>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</si>
  <si>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</si>
  <si>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</si>
  <si>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</si>
  <si>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</si>
  <si>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</si>
  <si>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</si>
  <si>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</si>
  <si>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</si>
  <si>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</si>
  <si>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</si>
  <si>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</si>
  <si>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</si>
  <si>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</si>
  <si>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</si>
  <si>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</si>
  <si>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</si>
  <si>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</si>
  <si>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</si>
  <si>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</si>
  <si>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</si>
  <si>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</si>
  <si>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</si>
  <si>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</si>
  <si>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</si>
  <si>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</si>
  <si>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</si>
  <si>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</si>
  <si>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</si>
  <si>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</si>
  <si>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</si>
  <si>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</si>
  <si>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</si>
  <si>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</si>
  <si>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</si>
  <si>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</si>
  <si>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</si>
  <si>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</si>
  <si>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</si>
  <si>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</si>
  <si>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</si>
  <si>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</si>
  <si>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</si>
  <si>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</si>
  <si>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</si>
  <si>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</si>
  <si>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</si>
  <si>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</si>
  <si>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</si>
  <si>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</si>
  <si>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</si>
  <si>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</si>
  <si>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</si>
  <si>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</si>
  <si>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</si>
  <si>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</si>
  <si>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</si>
  <si>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</si>
  <si>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</si>
  <si>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</si>
  <si>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</si>
  <si>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</si>
  <si>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</si>
  <si>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</si>
  <si>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</si>
  <si>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</si>
  <si>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</si>
  <si>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</si>
  <si>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</si>
  <si>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</si>
  <si>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</si>
  <si>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</si>
  <si>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</si>
  <si>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</si>
  <si>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</si>
  <si>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</si>
  <si>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</si>
  <si>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</si>
  <si>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</si>
  <si>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</si>
  <si>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</si>
  <si>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</si>
  <si>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</si>
  <si>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</si>
  <si>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</si>
  <si>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</si>
  <si>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</si>
  <si>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</si>
  <si>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</si>
  <si>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</si>
  <si>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</si>
  <si>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</si>
  <si>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</si>
  <si>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</si>
  <si>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</si>
  <si>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</si>
  <si>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</si>
  <si>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</si>
  <si>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</si>
  <si>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</si>
  <si>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</si>
  <si>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</si>
  <si>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</si>
  <si>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</si>
  <si>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</si>
  <si>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</si>
  <si>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</si>
  <si>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</si>
  <si>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</si>
  <si>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</si>
  <si>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</si>
  <si>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</si>
  <si>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</si>
  <si>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</si>
  <si>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</si>
  <si>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</si>
  <si>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</si>
  <si>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</si>
  <si>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</si>
  <si>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</si>
  <si>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</si>
  <si>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</si>
  <si>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</si>
  <si>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</si>
  <si>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</si>
  <si>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</si>
  <si>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</si>
  <si>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</si>
  <si>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</si>
  <si>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</si>
  <si>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</si>
  <si>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</si>
  <si>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</si>
  <si>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</si>
  <si>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</si>
  <si>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</si>
  <si>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</si>
  <si>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</si>
  <si>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</si>
  <si>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</si>
  <si>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</si>
  <si>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</si>
  <si>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</si>
  <si>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</si>
  <si>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</si>
  <si>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</si>
  <si>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</si>
  <si>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</si>
  <si>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</si>
  <si>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</si>
  <si>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</si>
  <si>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</si>
  <si>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</si>
  <si>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</si>
  <si>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</si>
  <si>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</si>
  <si>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</si>
  <si>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</si>
  <si>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</si>
  <si>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</si>
  <si>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</si>
  <si>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</si>
  <si>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</si>
  <si>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</si>
  <si>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</si>
  <si>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</si>
  <si>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</si>
  <si>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</si>
  <si>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</si>
  <si>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</si>
  <si>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</si>
  <si>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</si>
  <si>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</si>
  <si>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</si>
  <si>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</si>
  <si>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</si>
  <si>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</si>
  <si>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</si>
  <si>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</si>
  <si>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</si>
  <si>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</si>
  <si>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</si>
  <si>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</si>
  <si>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</si>
  <si>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</si>
  <si>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</si>
  <si>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</si>
  <si>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</si>
  <si>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</si>
  <si>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</si>
  <si>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</si>
  <si>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</si>
  <si>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</si>
  <si>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</si>
  <si>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</si>
  <si>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</si>
  <si>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</si>
  <si>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</si>
  <si>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</si>
  <si>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</si>
  <si>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</si>
  <si>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</si>
  <si>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</si>
  <si>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</si>
  <si>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</si>
  <si>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</si>
  <si>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</si>
  <si>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</si>
  <si>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</si>
  <si>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</si>
  <si>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</si>
  <si>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</si>
  <si>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</si>
  <si>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</si>
  <si>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</si>
  <si>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</si>
  <si>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</si>
  <si>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</si>
  <si>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</si>
  <si>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</si>
  <si>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</si>
  <si>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</si>
  <si>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</si>
  <si>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</si>
  <si>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</si>
  <si>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</si>
  <si>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</si>
  <si>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</si>
  <si>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</si>
  <si>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</si>
  <si>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</si>
  <si>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</si>
  <si>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</si>
  <si>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</si>
  <si>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</si>
  <si>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</si>
  <si>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</si>
  <si>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</si>
  <si>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</si>
  <si>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</si>
  <si>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</si>
  <si>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</si>
  <si>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</si>
  <si>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</si>
  <si>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</si>
  <si>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</si>
  <si>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</si>
  <si>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</si>
  <si>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</si>
  <si>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</si>
  <si>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</si>
  <si>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</si>
  <si>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</si>
  <si>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</si>
  <si>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</si>
  <si>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</si>
  <si>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</si>
  <si>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</si>
  <si>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</si>
  <si>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</si>
  <si>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</si>
  <si>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</si>
  <si>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</si>
  <si>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</si>
  <si>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</si>
  <si>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</si>
  <si>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</si>
  <si>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</si>
  <si>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</si>
  <si>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</si>
  <si>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</si>
  <si>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</si>
  <si>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</si>
  <si>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</si>
  <si>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</si>
  <si>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</si>
  <si>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</si>
  <si>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</si>
  <si>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</si>
  <si>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</si>
  <si>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</si>
  <si>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</si>
  <si>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</si>
  <si>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</si>
  <si>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</si>
  <si>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</si>
  <si>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</si>
  <si>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</si>
  <si>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</si>
  <si>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</si>
  <si>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</si>
  <si>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</si>
  <si>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</si>
  <si>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</si>
  <si>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</si>
  <si>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</si>
  <si>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</si>
  <si>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</si>
  <si>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</si>
  <si>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</si>
  <si>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</si>
  <si>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</si>
  <si>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</si>
  <si>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</si>
  <si>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</si>
  <si>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</si>
  <si>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</si>
  <si>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</si>
  <si>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</si>
  <si>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</si>
  <si>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</si>
  <si>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</si>
  <si>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</si>
  <si>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</si>
  <si>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</si>
  <si>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</si>
  <si>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</si>
  <si>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</si>
  <si>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</si>
  <si>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</si>
  <si>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</si>
  <si>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</si>
  <si>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</si>
  <si>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</si>
  <si>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</si>
  <si>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</si>
  <si>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</si>
  <si>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</si>
  <si>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</si>
  <si>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</si>
  <si>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</si>
  <si>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</si>
  <si>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</si>
  <si>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</si>
  <si>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</si>
  <si>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</si>
  <si>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</si>
  <si>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</si>
  <si>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</si>
  <si>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</si>
  <si>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</si>
  <si>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</si>
  <si>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</si>
  <si>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</si>
  <si>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</si>
  <si>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</si>
  <si>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</si>
  <si>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</si>
  <si>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</si>
  <si>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</si>
  <si>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</si>
  <si>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</si>
  <si>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</si>
  <si>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</si>
  <si>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</si>
  <si>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</si>
  <si>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</si>
  <si>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</si>
  <si>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</si>
  <si>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</si>
  <si>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</si>
  <si>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</si>
  <si>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</si>
  <si>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</si>
  <si>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</si>
  <si>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</si>
  <si>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</si>
  <si>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</si>
  <si>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</si>
  <si>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</si>
  <si>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</si>
  <si>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</si>
  <si>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</si>
  <si>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</si>
  <si>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</si>
  <si>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</si>
  <si>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</si>
  <si>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</si>
  <si>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</si>
  <si>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</si>
  <si>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</si>
  <si>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</si>
  <si>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</si>
  <si>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</si>
  <si>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</si>
  <si>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</si>
  <si>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</si>
  <si>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</si>
  <si>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</si>
  <si>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</si>
  <si>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</si>
  <si>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</si>
  <si>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</si>
  <si>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</si>
  <si>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</si>
  <si>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</si>
  <si>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</si>
  <si>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</si>
  <si>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</si>
  <si>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</si>
  <si>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</si>
  <si>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</si>
  <si>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</si>
  <si>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</si>
  <si>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</si>
  <si>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</si>
  <si>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</si>
  <si>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</si>
  <si>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</si>
  <si>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</si>
  <si>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</si>
  <si>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</si>
  <si>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</si>
  <si>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</si>
  <si>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</si>
  <si>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</si>
  <si>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</si>
  <si>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</si>
  <si>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</si>
  <si>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</si>
  <si>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</si>
  <si>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</si>
  <si>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</si>
  <si>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</si>
  <si>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</si>
  <si>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</si>
  <si>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</si>
  <si>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</si>
  <si>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</si>
  <si>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</si>
  <si>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</si>
  <si>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</si>
  <si>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</si>
  <si>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</si>
  <si>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</si>
  <si>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</si>
  <si>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</si>
  <si>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</si>
  <si>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</si>
  <si>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</si>
  <si>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</si>
  <si>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</si>
  <si>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</si>
  <si>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</si>
  <si>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</si>
  <si>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</si>
  <si>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</si>
  <si>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</si>
  <si>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</si>
  <si>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</si>
  <si>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</si>
  <si>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</si>
  <si>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</si>
  <si>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</si>
  <si>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</si>
  <si>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</si>
  <si>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</si>
  <si>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</si>
  <si>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</si>
  <si>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</si>
  <si>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</si>
  <si>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</si>
  <si>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</si>
  <si>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</si>
  <si>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</si>
  <si>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</si>
  <si>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</si>
  <si>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</si>
  <si>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</si>
  <si>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</si>
  <si>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</si>
  <si>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</si>
  <si>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</si>
  <si>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</si>
  <si>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</si>
  <si>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</si>
  <si>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</si>
  <si>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</si>
  <si>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</si>
  <si>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</si>
  <si>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</si>
  <si>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</si>
  <si>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</si>
  <si>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</si>
  <si>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</si>
  <si>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</si>
  <si>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</si>
  <si>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</si>
  <si>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</si>
  <si>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</si>
  <si>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</si>
  <si>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</si>
  <si>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</si>
  <si>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</si>
  <si>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</si>
  <si>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</si>
  <si>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</si>
  <si>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</si>
  <si>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</si>
  <si>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</si>
  <si>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</si>
  <si>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</si>
  <si>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</si>
  <si>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</si>
  <si>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</si>
  <si>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</si>
  <si>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</si>
  <si>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</si>
  <si>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</si>
  <si>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</si>
  <si>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</si>
  <si>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</si>
  <si>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</si>
  <si>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</si>
  <si>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</si>
  <si>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</si>
  <si>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</si>
  <si>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</si>
  <si>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</si>
  <si>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</si>
  <si>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</si>
  <si>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</si>
  <si>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</si>
  <si>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</si>
  <si>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</si>
  <si>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</si>
  <si>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</si>
  <si>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</si>
  <si>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</si>
  <si>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</si>
  <si>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</si>
  <si>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</si>
  <si>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</si>
  <si>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</si>
  <si>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</si>
  <si>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</si>
  <si>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</si>
  <si>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</si>
  <si>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</si>
  <si>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</si>
  <si>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</si>
  <si>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</si>
  <si>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</si>
  <si>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</si>
  <si>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</si>
  <si>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</si>
  <si>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</si>
  <si>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</si>
  <si>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</si>
  <si>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</si>
  <si>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</si>
  <si>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</si>
  <si>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</si>
  <si>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</si>
  <si>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</si>
  <si>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</si>
  <si>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</si>
  <si>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</si>
  <si>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</si>
  <si>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</si>
  <si>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</si>
  <si>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</si>
  <si>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</si>
  <si>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</si>
  <si>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</si>
  <si>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</si>
  <si>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</si>
  <si>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</si>
  <si>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</si>
  <si>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</si>
  <si>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</si>
  <si>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</si>
  <si>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</si>
  <si>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</si>
  <si>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</si>
  <si>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</si>
  <si>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</si>
  <si>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</si>
  <si>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</si>
  <si>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</si>
  <si>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</si>
  <si>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</si>
  <si>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</si>
  <si>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</si>
  <si>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</si>
  <si>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</si>
  <si>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</si>
  <si>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</si>
  <si>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</si>
  <si>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</si>
  <si>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</si>
  <si>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</si>
  <si>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</si>
  <si>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</si>
  <si>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</si>
  <si>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</si>
  <si>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</si>
  <si>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</si>
  <si>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</si>
  <si>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</si>
  <si>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</si>
  <si>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</si>
  <si>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</si>
  <si>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</si>
  <si>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</si>
  <si>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</si>
  <si>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</si>
  <si>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</si>
  <si>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</si>
  <si>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</si>
  <si>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</si>
  <si>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</si>
  <si>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</si>
  <si>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</si>
  <si>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</si>
  <si>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</si>
  <si>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</si>
  <si>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</si>
  <si>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</si>
  <si>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</si>
  <si>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</si>
  <si>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</si>
  <si>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</si>
  <si>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</si>
  <si>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</si>
  <si>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</si>
  <si>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</si>
  <si>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</si>
  <si>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</si>
  <si>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</si>
  <si>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</si>
  <si>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</si>
  <si>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</si>
  <si>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</si>
  <si>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</si>
  <si>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</si>
  <si>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</si>
  <si>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</si>
  <si>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</si>
  <si>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</si>
  <si>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</si>
  <si>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</si>
  <si>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</si>
  <si>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</si>
  <si>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</si>
  <si>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</si>
  <si>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</si>
  <si>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</si>
  <si>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</si>
  <si>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</si>
  <si>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</si>
  <si>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</si>
  <si>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</si>
  <si>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</si>
  <si>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</si>
  <si>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</si>
  <si>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</si>
  <si>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</si>
  <si>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</si>
  <si>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</si>
  <si>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</si>
  <si>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</si>
  <si>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</si>
  <si>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</si>
  <si>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</si>
  <si>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</si>
  <si>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</si>
  <si>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</si>
  <si>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</si>
  <si>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</si>
  <si>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</si>
  <si>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</si>
  <si>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</si>
  <si>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</si>
  <si>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</si>
  <si>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</si>
  <si>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</si>
  <si>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</si>
  <si>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</si>
  <si>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</si>
  <si>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</si>
  <si>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</si>
  <si>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</si>
  <si>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</si>
  <si>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</si>
  <si>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</si>
  <si>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</si>
  <si>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</si>
  <si>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</si>
  <si>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</si>
  <si>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</si>
  <si>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</si>
  <si>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</si>
  <si>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</si>
  <si>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</si>
  <si>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</si>
  <si>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</si>
  <si>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</si>
  <si>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</si>
  <si>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</si>
  <si>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</si>
  <si>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</si>
  <si>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</si>
  <si>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</si>
  <si>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</si>
  <si>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</si>
  <si>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</si>
  <si>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</si>
  <si>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</si>
  <si>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</si>
  <si>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</si>
  <si>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</si>
  <si>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</si>
  <si>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</si>
  <si>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</si>
  <si>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</si>
  <si>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</si>
  <si>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</si>
  <si>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</si>
  <si>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</si>
  <si>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</si>
  <si>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</si>
  <si>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</si>
  <si>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</si>
  <si>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</si>
  <si>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</si>
  <si>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</si>
  <si>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</si>
  <si>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</si>
  <si>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</si>
  <si>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</si>
  <si>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</si>
  <si>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</si>
  <si>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</si>
  <si>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</si>
  <si>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</si>
  <si>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</si>
  <si>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</si>
  <si>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</si>
  <si>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</si>
  <si>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</si>
  <si>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</si>
  <si>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</si>
  <si>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</si>
  <si>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</si>
  <si>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</si>
  <si>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</si>
  <si>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</si>
  <si>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</si>
  <si>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</si>
  <si>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</si>
  <si>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</si>
  <si>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</si>
  <si>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</si>
  <si>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</si>
  <si>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</si>
  <si>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</si>
  <si>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</si>
  <si>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</si>
  <si>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</si>
  <si>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</si>
  <si>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</si>
  <si>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</si>
  <si>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</si>
  <si>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</si>
  <si>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</si>
  <si>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</si>
  <si>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</si>
  <si>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</si>
  <si>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</si>
  <si>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</si>
  <si>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</si>
  <si>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</si>
  <si>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</si>
  <si>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</si>
  <si>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</si>
  <si>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</si>
  <si>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</si>
  <si>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</si>
  <si>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</si>
  <si>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</si>
  <si>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</si>
  <si>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</si>
  <si>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</si>
  <si>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</si>
  <si>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</si>
  <si>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</si>
  <si>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</si>
  <si>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</si>
  <si>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</si>
  <si>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</si>
  <si>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</si>
  <si>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</si>
  <si>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</si>
  <si>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</si>
  <si>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</si>
  <si>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</si>
  <si>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</si>
  <si>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</si>
  <si>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</si>
  <si>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</si>
  <si>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</si>
  <si>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</si>
  <si>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</si>
  <si>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</si>
  <si>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</si>
  <si>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</si>
  <si>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</si>
  <si>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</si>
  <si>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</si>
  <si>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</si>
  <si>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</si>
  <si>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</si>
  <si>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</si>
  <si>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</si>
  <si>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</si>
  <si>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</si>
  <si>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</si>
  <si>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</si>
  <si>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</si>
  <si>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</si>
  <si>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</si>
  <si>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</si>
  <si>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</si>
  <si>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</si>
  <si>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</si>
  <si>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</si>
  <si>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</si>
  <si>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</si>
  <si>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</si>
  <si>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</si>
  <si>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</si>
  <si>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</si>
  <si>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</si>
  <si>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</si>
  <si>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</si>
  <si>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</si>
  <si>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</si>
  <si>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</si>
  <si>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</si>
  <si>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</si>
  <si>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</si>
  <si>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</si>
  <si>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</si>
  <si>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</si>
  <si>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</si>
  <si>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</si>
  <si>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</si>
  <si>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</si>
  <si>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</si>
  <si>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</si>
  <si>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</si>
  <si>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</si>
  <si>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</si>
  <si>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</si>
  <si>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</si>
  <si>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</si>
  <si>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</si>
  <si>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</si>
  <si>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</si>
  <si>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</si>
  <si>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</si>
  <si>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</si>
  <si>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</si>
  <si>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</si>
  <si>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</si>
  <si>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</si>
  <si>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</si>
  <si>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</si>
  <si>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</si>
  <si>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</si>
  <si>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</si>
  <si>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</si>
  <si>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</si>
  <si>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</si>
  <si>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</si>
  <si>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</si>
  <si>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</si>
  <si>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</si>
  <si>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</si>
  <si>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</si>
  <si>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</si>
  <si>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</si>
  <si>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</si>
  <si>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</si>
  <si>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</si>
  <si>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</si>
  <si>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</si>
  <si>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</si>
  <si>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</si>
  <si>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</si>
  <si>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</si>
  <si>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</si>
  <si>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</si>
  <si>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</si>
  <si>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</si>
  <si>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</si>
  <si>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</si>
  <si>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</si>
  <si>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</si>
  <si>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</si>
  <si>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</si>
  <si>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</si>
  <si>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</si>
  <si>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</si>
  <si>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</si>
  <si>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</si>
  <si>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</si>
  <si>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</si>
  <si>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</si>
  <si>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</si>
  <si>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</si>
  <si>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</si>
  <si>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</si>
  <si>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</si>
  <si>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</si>
  <si>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</si>
  <si>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</si>
  <si>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</si>
  <si>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</si>
  <si>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</si>
  <si>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</si>
  <si>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</si>
  <si>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</si>
  <si>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</si>
  <si>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</si>
  <si>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</si>
  <si>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</si>
  <si>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</si>
  <si>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</si>
  <si>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</si>
  <si>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</si>
  <si>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</si>
  <si>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</si>
  <si>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</si>
  <si>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</si>
  <si>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</si>
  <si>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</si>
  <si>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</si>
  <si>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</si>
  <si>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</si>
  <si>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</si>
  <si>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</si>
  <si>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</si>
  <si>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</si>
  <si>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</si>
  <si>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</si>
  <si>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</si>
  <si>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</si>
  <si>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</si>
  <si>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</si>
  <si>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</si>
  <si>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</si>
  <si>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</si>
  <si>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</si>
  <si>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</si>
  <si>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</si>
  <si>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</si>
  <si>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</si>
  <si>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</si>
  <si>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</si>
  <si>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</si>
  <si>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</si>
  <si>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</si>
  <si>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</si>
  <si>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</si>
  <si>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</si>
  <si>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</si>
  <si>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</si>
  <si>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</si>
  <si>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</si>
  <si>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</si>
  <si>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</si>
  <si>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</si>
  <si>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</si>
  <si>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</si>
  <si>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</si>
  <si>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</si>
  <si>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</si>
  <si>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</si>
  <si>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</si>
  <si>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</si>
  <si>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</si>
  <si>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</si>
  <si>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</si>
  <si>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</si>
  <si>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</si>
  <si>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</si>
  <si>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</si>
  <si>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</si>
  <si>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</si>
  <si>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</si>
  <si>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</si>
  <si>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</si>
  <si>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</si>
  <si>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</si>
  <si>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</si>
  <si>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</si>
  <si>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</si>
  <si>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</si>
  <si>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</si>
  <si>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</si>
  <si>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</si>
  <si>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</si>
  <si>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</si>
  <si>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</si>
  <si>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</si>
  <si>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</si>
  <si>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</si>
  <si>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</si>
  <si>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</si>
  <si>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</si>
  <si>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</si>
  <si>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</si>
  <si>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</si>
  <si>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</si>
  <si>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</si>
  <si>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</si>
  <si>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</si>
  <si>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</si>
  <si>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</si>
  <si>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</si>
  <si>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</si>
  <si>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</si>
  <si>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</si>
  <si>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</si>
  <si>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</si>
  <si>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</si>
  <si>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</si>
  <si>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</si>
  <si>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</si>
  <si>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</si>
  <si>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</si>
  <si>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</si>
  <si>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</si>
  <si>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</si>
  <si>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</si>
  <si>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</si>
  <si>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</si>
  <si>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</si>
  <si>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</si>
  <si>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</si>
  <si>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</si>
  <si>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</si>
  <si>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</si>
  <si>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</si>
  <si>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</si>
  <si>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</si>
  <si>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</si>
  <si>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</si>
  <si>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</si>
  <si>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</si>
  <si>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</si>
  <si>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</si>
  <si>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</si>
  <si>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</si>
  <si>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</si>
  <si>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</si>
  <si>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</si>
  <si>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</si>
  <si>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</si>
  <si>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</si>
  <si>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</si>
  <si>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</si>
  <si>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</si>
  <si>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</si>
  <si>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</si>
  <si>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</si>
  <si>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</si>
  <si>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</si>
  <si>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</si>
  <si>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</si>
  <si>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</si>
  <si>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</si>
  <si>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</si>
  <si>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</si>
  <si>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</si>
  <si>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</si>
  <si>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</si>
  <si>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</si>
  <si>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</si>
  <si>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</si>
  <si>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</si>
  <si>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</si>
  <si>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</si>
  <si>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</si>
  <si>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</si>
  <si>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</si>
  <si>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</si>
  <si>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</si>
  <si>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</si>
  <si>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</si>
  <si>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</si>
  <si>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</si>
  <si>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</si>
  <si>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</si>
  <si>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</si>
  <si>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</si>
  <si>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</si>
  <si>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</si>
  <si>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</si>
  <si>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</si>
  <si>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</si>
  <si>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</si>
  <si>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</si>
  <si>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</si>
  <si>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</si>
  <si>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</si>
  <si>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</si>
  <si>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</si>
  <si>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</si>
  <si>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</si>
  <si>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</si>
  <si>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</si>
  <si>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</si>
  <si>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</si>
  <si>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</si>
  <si>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</si>
  <si>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</si>
  <si>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</si>
  <si>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</si>
  <si>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</si>
  <si>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</si>
  <si>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</si>
  <si>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</si>
  <si>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</si>
  <si>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</si>
  <si>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</si>
  <si>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</si>
  <si>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</si>
  <si>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</si>
  <si>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</si>
  <si>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</si>
  <si>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</si>
  <si>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</si>
  <si>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</si>
  <si>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</si>
  <si>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</si>
  <si>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</si>
  <si>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</si>
  <si>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</si>
  <si>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</si>
  <si>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</si>
  <si>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</si>
  <si>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</si>
  <si>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</si>
  <si>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</si>
  <si>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</si>
  <si>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</si>
  <si>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</si>
  <si>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</si>
  <si>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</si>
  <si>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</si>
  <si>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</si>
  <si>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</si>
  <si>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</si>
  <si>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</si>
  <si>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</si>
  <si>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</si>
  <si>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</si>
  <si>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</si>
  <si>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</si>
  <si>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</si>
  <si>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</si>
  <si>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</si>
  <si>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</si>
  <si>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</si>
  <si>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</si>
  <si>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</si>
  <si>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</si>
  <si>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</si>
  <si>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</si>
  <si>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</si>
  <si>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</si>
  <si>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</si>
  <si>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</si>
  <si>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</si>
  <si>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</si>
  <si>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</si>
  <si>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</si>
  <si>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</si>
  <si>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</si>
  <si>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</si>
  <si>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</si>
  <si>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</si>
  <si>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</si>
  <si>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</si>
  <si>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</si>
  <si>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</si>
  <si>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</si>
  <si>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</si>
  <si>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</si>
  <si>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</si>
  <si>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</si>
  <si>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</si>
  <si>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</si>
  <si>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</si>
  <si>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</si>
  <si>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</si>
  <si>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</si>
  <si>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</si>
  <si>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</si>
  <si>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</si>
  <si>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</si>
  <si>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</si>
  <si>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</si>
  <si>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</si>
  <si>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</si>
  <si>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</si>
  <si>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</si>
  <si>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</si>
  <si>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</si>
  <si>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</si>
  <si>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</si>
  <si>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</si>
  <si>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</si>
  <si>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</si>
  <si>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</si>
  <si>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</si>
  <si>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</si>
  <si>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</si>
  <si>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</si>
  <si>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</si>
  <si>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</si>
  <si>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</si>
  <si>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</si>
  <si>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</si>
  <si>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</si>
  <si>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</si>
  <si>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</si>
  <si>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</si>
  <si>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</si>
  <si>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</si>
  <si>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</si>
  <si>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</si>
  <si>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</si>
  <si>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</si>
  <si>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</si>
  <si>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</si>
  <si>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</si>
  <si>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</si>
  <si>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</si>
  <si>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</si>
  <si>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</si>
  <si>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</si>
  <si>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</si>
  <si>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</si>
  <si>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</si>
  <si>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</si>
  <si>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</si>
  <si>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</si>
  <si>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</si>
  <si>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</si>
  <si>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</si>
  <si>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</si>
  <si>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</si>
  <si>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</si>
  <si>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</si>
  <si>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</si>
  <si>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</si>
  <si>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</si>
  <si>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</si>
  <si>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</si>
  <si>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</si>
  <si>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</si>
  <si>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</si>
  <si>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</si>
  <si>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</si>
  <si>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</si>
  <si>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</si>
  <si>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</si>
  <si>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</si>
  <si>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</si>
  <si>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</si>
  <si>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</si>
  <si>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</si>
  <si>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</si>
  <si>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</si>
  <si>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</si>
  <si>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</si>
  <si>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</si>
  <si>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</si>
  <si>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</si>
  <si>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</si>
  <si>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</si>
  <si>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</si>
  <si>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</si>
  <si>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</si>
  <si>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</si>
  <si>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</si>
  <si>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</si>
  <si>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</si>
  <si>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</si>
  <si>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</si>
  <si>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</si>
  <si>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</si>
  <si>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</si>
  <si>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</si>
  <si>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</si>
  <si>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</si>
  <si>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</si>
  <si>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</si>
  <si>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</si>
  <si>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</si>
  <si>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</si>
  <si>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</si>
  <si>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</si>
  <si>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</si>
  <si>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</si>
  <si>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</si>
  <si>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</si>
  <si>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</si>
  <si>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</si>
  <si>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</si>
  <si>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</si>
  <si>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</si>
  <si>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</si>
  <si>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</si>
  <si>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</si>
  <si>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</si>
  <si>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</si>
  <si>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</si>
  <si>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</si>
  <si>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</si>
  <si>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</si>
  <si>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</si>
  <si>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</si>
  <si>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</si>
  <si>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</si>
  <si>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</si>
  <si>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</si>
  <si>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</si>
  <si>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</si>
  <si>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</si>
  <si>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</si>
  <si>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</si>
  <si>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</si>
  <si>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</si>
  <si>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</si>
  <si>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</si>
  <si>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</si>
  <si>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</si>
  <si>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</si>
  <si>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</si>
  <si>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</si>
  <si>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</si>
  <si>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</si>
  <si>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</si>
  <si>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</si>
  <si>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</si>
  <si>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</si>
  <si>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</si>
  <si>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</si>
  <si>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</si>
  <si>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Amount</t>
  </si>
  <si>
    <t>Sum of Quantity</t>
  </si>
  <si>
    <t>Average of Rating C</t>
  </si>
  <si>
    <t>Average of Days to Deliver</t>
  </si>
  <si>
    <t>values for Display</t>
  </si>
  <si>
    <t>orders</t>
  </si>
  <si>
    <t>Qty</t>
  </si>
  <si>
    <t>Avg.Rating</t>
  </si>
  <si>
    <t>Avg.Days</t>
  </si>
  <si>
    <t xml:space="preserve">FOR TRENDS </t>
  </si>
  <si>
    <t>Grand Total</t>
  </si>
  <si>
    <t>Weeks</t>
  </si>
  <si>
    <t>Row Labels</t>
  </si>
  <si>
    <t>Column Labels</t>
  </si>
  <si>
    <t>Female</t>
  </si>
  <si>
    <t>Male</t>
  </si>
  <si>
    <t>Other</t>
  </si>
  <si>
    <t>Unknown</t>
  </si>
  <si>
    <t>for matrix</t>
  </si>
  <si>
    <t xml:space="preserve">order  Qty Analysis </t>
  </si>
  <si>
    <t>6 To 10</t>
  </si>
  <si>
    <t>MORE THAN 10</t>
  </si>
  <si>
    <t>Map Chart  stuff(Qty)</t>
  </si>
  <si>
    <t xml:space="preserve">Map chart for Amount </t>
  </si>
  <si>
    <t xml:space="preserve">Amount </t>
  </si>
  <si>
    <t>Jan</t>
  </si>
  <si>
    <t>Feb</t>
  </si>
  <si>
    <t>Mar</t>
  </si>
  <si>
    <t xml:space="preserve"> San Francisco County</t>
  </si>
  <si>
    <t>San Francisco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</si>
</sst>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4">
    <font>
      <sz val="11"/>
      <color theme="1"/>
      <name val="Aptos Narrow"/>
      <family val="2"/>
      <scheme val="minor"/>
    </font>
    <font>
      <b/>
      <sz val="11"/>
      <color theme="1"/>
      <name val="Aptos Narrow"/>
      <family val="2"/>
      <scheme val="minor"/>
    </font>
    <font>
      <sz val="12"/>
      <color theme="1"/>
      <name val="Aptos Narrow"/>
      <family val="2"/>
      <scheme val="minor"/>
    </font>
    <font>
      <sz val="13"/>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2" fillId="0" borderId="5" xfId="0" applyNumberFormat="1" applyFont="1" applyBorder="1" applyAlignment="1">
      <alignment horizontal="center" vertical="center"/>
    </xf>
    <xf numFmtId="165" fontId="2" fillId="0" borderId="6" xfId="0" applyNumberFormat="1" applyFont="1" applyBorder="1" applyAlignment="1">
      <alignment horizontal="center" vertical="center"/>
    </xf>
    <xf numFmtId="165" fontId="2" fillId="0" borderId="8" xfId="0" applyNumberFormat="1" applyFont="1" applyBorder="1" applyAlignment="1">
      <alignment horizontal="center" vertical="center"/>
    </xf>
    <xf numFmtId="165" fontId="2" fillId="0" borderId="9" xfId="0" applyNumberFormat="1" applyFont="1" applyBorder="1" applyAlignment="1">
      <alignment horizontal="center" vertical="center"/>
    </xf>
    <xf numFmtId="0" fontId="0" fillId="0" borderId="1" xfId="0" applyBorder="1"/>
    <xf numFmtId="0" fontId="0" fillId="0" borderId="2" xfId="0" applyBorder="1"/>
    <xf numFmtId="0" fontId="0" fillId="0" borderId="3" xfId="0" applyBorder="1"/>
    <xf numFmtId="0" fontId="3" fillId="0" borderId="4" xfId="0" applyFont="1" applyBorder="1" applyAlignment="1">
      <alignment horizontal="left" vertical="top"/>
    </xf>
    <xf numFmtId="0" fontId="3" fillId="0" borderId="7" xfId="0" applyFont="1" applyBorder="1" applyAlignment="1">
      <alignment horizontal="left" vertical="top"/>
    </xf>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[ecommerce-blank.xlsx]Sheet1!pvtTrends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effectLst/>
              </a:rPr>
              <a:t>Trend in the last 13 weeks-Qty and Amount</a:t>
            </a:r>
            <a:r>
              <a:rPr lang="en-US" sz="1400" b="1" i="0" u="none" strike="noStrike" baseline="0">
                <a:solidFill>
                  <a:schemeClr val="tx1"/>
                </a:solidFill>
              </a:rPr>
              <a:t> </a:t>
            </a:r>
            <a:endParaRPr lang="en-US" b="1">
              <a:solidFill>
                <a:schemeClr val="tx1"/>
              </a:solidFill>
            </a:endParaRPr>
          </a:p>
        </c:rich>
      </c:tx>
      <c:layout>
        <c:manualLayout>
          <c:xMode val="edge"/>
          <c:yMode val="edge"/>
          <c:x val="9.0744032532414143E-2"/>
          <c:y val="1.8518518518518517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5"/>
        <c:spPr>
          <a:solidFill>
            <a:schemeClr val="accent6"/>
          </a:solidFill>
          <a:ln>
            <a:noFill/>
          </a:ln>
          <a:effectLst/>
        </c:spPr>
        <c:marker>
          <c:spPr>
            <a:solidFill>
              <a:schemeClr val="accent6"/>
            </a:solidFill>
            <a:ln w="9525">
              <a:solidFill>
                <a:schemeClr val="accent6"/>
              </a:solidFill>
            </a:ln>
            <a:effectLst/>
          </c:spPr>
        </c:marker>
      </c:pivotFmt>
      <c:pivotFmt>
        <c:idx val="6"/>
        <c:spPr>
          <a:solidFill>
            <a:schemeClr val="accent6"/>
          </a:solidFill>
          <a:ln w="28575" cap="rnd">
            <a:solidFill>
              <a:schemeClr val="accent6"/>
            </a:solidFill>
            <a:round/>
          </a:ln>
          <a:effectLst/>
        </c:spPr>
      </c:pivotFmt>
      <c:pivotFmt>
        <c:idx val="7"/>
        <c:spPr>
          <a:solidFill>
            <a:schemeClr val="accent6"/>
          </a:solidFill>
          <a:ln w="28575" cap="rnd">
            <a:solidFill>
              <a:schemeClr val="accent6"/>
            </a:solidFill>
            <a:round/>
          </a:ln>
          <a:effectLst/>
        </c:spPr>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Sheet1!$B$13</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Sheet1!$B$14:$B$27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5622-4DEB-80B2-FFC09FB7ADAC}"/>
            </c:ext>
          </c:extLst>
        </c:ser>
        <c:dLbls>
          <c:showLegendKey val="0"/>
          <c:showVal val="0"/>
          <c:showCatName val="0"/>
          <c:showSerName val="0"/>
          <c:showPercent val="0"/>
          <c:showBubbleSize val="0"/>
        </c:dLbls>
        <c:marker val="1"/>
        <c:smooth val="0"/>
        <c:axId val="408787336"/>
        <c:axId val="408946792"/>
      </c:lineChart>
      <c:lineChart>
        <c:grouping val="standard"/>
        <c:varyColors val="0"/>
        <c:ser>
          <c:idx val="1"/>
          <c:order val="1"/>
          <c:tx>
            <c:strRef>
              <c:f>Sheet1!$C$13</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Sheet1!$C$14:$C$27</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5622-4DEB-80B2-FFC09FB7ADAC}"/>
            </c:ext>
          </c:extLst>
        </c:ser>
        <c:dLbls>
          <c:showLegendKey val="0"/>
          <c:showVal val="0"/>
          <c:showCatName val="0"/>
          <c:showSerName val="0"/>
          <c:showPercent val="0"/>
          <c:showBubbleSize val="0"/>
        </c:dLbls>
        <c:marker val="1"/>
        <c:smooth val="0"/>
        <c:axId val="425350448"/>
        <c:axId val="425355368"/>
      </c:lineChart>
      <c:catAx>
        <c:axId val="408787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08946792"/>
        <c:crosses val="autoZero"/>
        <c:auto val="1"/>
        <c:lblAlgn val="ctr"/>
        <c:lblOffset val="100"/>
        <c:noMultiLvlLbl val="0"/>
      </c:catAx>
      <c:valAx>
        <c:axId val="408946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08787336"/>
        <c:crosses val="autoZero"/>
        <c:crossBetween val="between"/>
      </c:valAx>
      <c:valAx>
        <c:axId val="425355368"/>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25350448"/>
        <c:crosses val="max"/>
        <c:crossBetween val="between"/>
      </c:valAx>
      <c:catAx>
        <c:axId val="425350448"/>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25355368"/>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[ecommerce-blank.xlsx]Sheet1!pvtQty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How</a:t>
            </a:r>
            <a:r>
              <a:rPr lang="en-US" sz="2000" b="1" baseline="0"/>
              <a:t> many  they buy?</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bg1"/>
            </a:solidFill>
          </a:ln>
          <a:effectLst/>
        </c:spPr>
      </c:pivotFmt>
      <c:pivotFmt>
        <c:idx val="4"/>
        <c:spPr>
          <a:solidFill>
            <a:schemeClr val="accent6"/>
          </a:solidFill>
          <a:ln>
            <a:solidFill>
              <a:schemeClr val="bg1"/>
            </a:solidFill>
          </a:ln>
          <a:effectLst/>
        </c:spPr>
      </c:pivotFmt>
      <c:pivotFmt>
        <c:idx val="5"/>
        <c:spPr>
          <a:solidFill>
            <a:schemeClr val="accent6"/>
          </a:solidFill>
          <a:ln>
            <a:solidFill>
              <a:schemeClr val="bg1"/>
            </a:solidFill>
          </a:ln>
          <a:effectLst/>
        </c:spPr>
      </c:pivotFmt>
      <c:pivotFmt>
        <c:idx val="6"/>
        <c:spPr>
          <a:solidFill>
            <a:schemeClr val="accent6"/>
          </a:solidFill>
          <a:ln>
            <a:solidFill>
              <a:schemeClr val="bg1"/>
            </a:solidFill>
          </a:ln>
          <a:effectLst/>
        </c:spPr>
      </c:pivotFmt>
      <c:pivotFmt>
        <c:idx val="7"/>
        <c:spPr>
          <a:solidFill>
            <a:schemeClr val="accent6"/>
          </a:solidFill>
          <a:ln>
            <a:solidFill>
              <a:schemeClr val="bg1"/>
            </a:solidFill>
          </a:ln>
          <a:effectLst/>
        </c:spPr>
      </c:pivotFmt>
    </c:pivotFmts>
    <c:plotArea>
      <c:layout/>
      <c:barChart>
        <c:barDir val="col"/>
        <c:grouping val="clustered"/>
        <c:varyColors val="0"/>
        <c:ser>
          <c:idx val="0"/>
          <c:order val="0"/>
          <c:tx>
            <c:strRef>
              <c:f>Sheet1!$B$35</c:f>
              <c:strCache>
                <c:ptCount val="1"/>
                <c:pt idx="0">
                  <c:v>Total</c:v>
                </c:pt>
              </c:strCache>
            </c:strRef>
          </c:tx>
          <c:spPr>
            <a:solidFill>
              <a:schemeClr val="accent6"/>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Sheet1!$A$36:$A$43</c:f>
              <c:strCache>
                <c:ptCount val="7"/>
                <c:pt idx="0">
                  <c:v>1</c:v>
                </c:pt>
                <c:pt idx="1">
                  <c:v>2</c:v>
                </c:pt>
                <c:pt idx="2">
                  <c:v>3</c:v>
                </c:pt>
                <c:pt idx="3">
                  <c:v>4</c:v>
                </c:pt>
                <c:pt idx="4">
                  <c:v>5</c:v>
                </c:pt>
                <c:pt idx="5">
                  <c:v>6 To 10</c:v>
                </c:pt>
                <c:pt idx="6">
                  <c:v>MORE THAN 10</c:v>
                </c:pt>
              </c:strCache>
            </c:strRef>
          </c:cat>
          <c:val>
            <c:numRef>
              <c:f>Sheet1!$B$36:$B$43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860-4C52-A3F1-329E01FEFD5A}"/>
            </c:ext>
          </c:extLst>
        </c:ser>
        <c:dLbls>
          <c:dLblPos val="outEnd"/>
          <c:showLegendKey val="0"/>
          <c:showVal val="1"/>
          <c:showCatName val="0"/>
          <c:showSerName val="0"/>
          <c:showPercent val="0"/>
          <c:showBubbleSize val="0"/>
        </c:dLbls>
        <c:gapWidth val="0"/>
        <c:overlap val="-27"/>
        <c:axId val="2028845744"/>
        <c:axId val="2028854064"/>
      </c:barChart>
      <c:catAx>
        <c:axId val="202884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28854064"/>
        <c:crosses val="autoZero"/>
        <c:auto val="1"/>
        <c:lblAlgn val="ctr"/>
        <c:lblOffset val="100"/>
        <c:noMultiLvlLbl val="0"/>
      </c:catAx>
      <c:valAx>
        <c:axId val="20288540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028845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[ecommerce-blank.xlsx]Sheet1!pvttopsaling_product</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Which</a:t>
            </a:r>
            <a:r>
              <a:rPr lang="en-US" b="1" baseline="0"/>
              <a:t> product is popular?</a:t>
            </a:r>
            <a:r>
              <a:rPr lang="en-US" b="0" baseline="0"/>
              <a:t>Breakdown By Gender</a:t>
            </a:r>
            <a:endParaRPr lang="en-US" b="1"/>
          </a:p>
        </c:rich>
      </c:tx>
      <c:layout>
        <c:manualLayout>
          <c:xMode val="edge"/>
          <c:yMode val="edge"/>
          <c:x val="2.3229980069918645E-2"/>
          <c:y val="1.56157611275721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88888888888888E-2"/>
          <c:y val="0.17186223412501136"/>
          <c:w val="0.69279286964129483"/>
          <c:h val="0.79826675433391614"/>
        </c:manualLayout>
      </c:layout>
      <c:barChart>
        <c:barDir val="bar"/>
        <c:grouping val="stacked"/>
        <c:varyColors val="0"/>
        <c:ser>
          <c:idx val="0"/>
          <c:order val="0"/>
          <c:tx>
            <c:strRef>
              <c:f>Sheet1!$B$73:$B$74</c:f>
              <c:strCache>
                <c:ptCount val="1"/>
                <c:pt idx="0">
                  <c:v>Female</c:v>
                </c:pt>
              </c:strCache>
            </c:strRef>
          </c:tx>
          <c:spPr>
            <a:solidFill>
              <a:schemeClr val="accent6"/>
            </a:solidFill>
            <a:ln>
              <a:solidFill>
                <a:schemeClr val="bg1"/>
              </a:solidFill>
            </a:ln>
            <a:effectLst/>
          </c:spPr>
          <c:invertIfNegative val="0"/>
          <c:cat>
            <c:strRef>
              <c:f>Sheet1!$A$75:$A$95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Sheet1!$B$75:$B$95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83FF-456D-984C-8687BE83C5A0}"/>
            </c:ext>
          </c:extLst>
        </c:ser>
        <c:ser>
          <c:idx val="1"/>
          <c:order val="1"/>
          <c:tx>
            <c:strRef>
              <c:f>Sheet1!$C$73:$C$74</c:f>
              <c:strCache>
                <c:ptCount val="1"/>
                <c:pt idx="0">
                  <c:v>Male</c:v>
                </c:pt>
              </c:strCache>
            </c:strRef>
          </c:tx>
          <c:spPr>
            <a:solidFill>
              <a:schemeClr val="accent5"/>
            </a:solidFill>
            <a:ln>
              <a:solidFill>
                <a:schemeClr val="bg1"/>
              </a:solidFill>
            </a:ln>
            <a:effectLst/>
          </c:spPr>
          <c:invertIfNegative val="0"/>
          <c:cat>
            <c:strRef>
              <c:f>Sheet1!$A$75:$A$95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Sheet1!$C$75:$C$95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A-2A81-4AAF-8091-6DB9DC95A419}"/>
            </c:ext>
          </c:extLst>
        </c:ser>
        <c:ser>
          <c:idx val="2"/>
          <c:order val="2"/>
          <c:tx>
            <c:strRef>
              <c:f>Sheet1!$D$73:$D$74</c:f>
              <c:strCache>
                <c:ptCount val="1"/>
                <c:pt idx="0">
                  <c:v>Other</c:v>
                </c:pt>
              </c:strCache>
            </c:strRef>
          </c:tx>
          <c:spPr>
            <a:solidFill>
              <a:schemeClr val="accent4"/>
            </a:solidFill>
            <a:ln>
              <a:solidFill>
                <a:schemeClr val="bg1"/>
              </a:solidFill>
            </a:ln>
            <a:effectLst/>
          </c:spPr>
          <c:invertIfNegative val="0"/>
          <c:cat>
            <c:strRef>
              <c:f>Sheet1!$A$75:$A$95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Sheet1!$D$75:$D$95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B-2A81-4AAF-8091-6DB9DC95A419}"/>
            </c:ext>
          </c:extLst>
        </c:ser>
        <c:ser>
          <c:idx val="3"/>
          <c:order val="3"/>
          <c:tx>
            <c:strRef>
              <c:f>Sheet1!$E$73:$E$74</c:f>
              <c:strCache>
                <c:ptCount val="1"/>
                <c:pt idx="0">
                  <c:v>Unknown</c:v>
                </c:pt>
              </c:strCache>
            </c:strRef>
          </c:tx>
          <c:spPr>
            <a:solidFill>
              <a:schemeClr val="accent6">
                <a:lumMod val="60000"/>
              </a:schemeClr>
            </a:solidFill>
            <a:ln>
              <a:solidFill>
                <a:schemeClr val="bg1"/>
              </a:solidFill>
            </a:ln>
            <a:effectLst/>
          </c:spPr>
          <c:invertIfNegative val="0"/>
          <c:cat>
            <c:strRef>
              <c:f>Sheet1!$A$75:$A$95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Sheet1!$E$75:$E$95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C-2A81-4AAF-8091-6DB9DC95A419}"/>
            </c:ext>
          </c:extLst>
        </c:ser>
        <c:dLbls>
          <c:showLegendKey val="0"/>
          <c:showVal val="0"/>
          <c:showCatName val="0"/>
          <c:showSerName val="0"/>
          <c:showPercent val="0"/>
          <c:showBubbleSize val="0"/>
        </c:dLbls>
        <c:gapWidth val="0"/>
        <c:overlap val="100"/>
        <c:axId val="1057038431"/>
        <c:axId val="1057039263"/>
      </c:barChart>
      <c:catAx>
        <c:axId val="1057038431"/>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57039263"/>
        <c:crosses val="autoZero"/>
        <c:auto val="1"/>
        <c:lblAlgn val="ctr"/>
        <c:lblOffset val="100"/>
        <c:noMultiLvlLbl val="0"/>
      </c:catAx>
      <c:valAx>
        <c:axId val="105703926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57038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[ecommerce-blank.xlsx]Sheet1!pvtavg_gender</c:name>
    <c:fmtId val="38"/>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bg1"/>
            </a:solidFill>
          </a:ln>
          <a:effectLst>
            <a:outerShdw blurRad="50800" dist="50800" dir="5400000" algn="ctr" rotWithShape="0">
              <a:schemeClr val="bg1"/>
            </a:outerShdw>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manualLayout>
          <c:layoutTarget val="inner"/>
          <c:xMode val="edge"/>
          <c:yMode val="edge"/>
          <c:x val="0.2060624774844321"/>
          <c:y val="0.36192498557991842"/>
          <c:w val="0.60439560439560436"/>
          <c:h val="0.56410256410256399"/>
        </c:manualLayout>
      </c:layout>
      <c:doughnutChart>
        <c:varyColors val="1"/>
        <c:ser>
          <c:idx val="0"/>
          <c:order val="0"/>
          <c:tx>
            <c:strRef>
              <c:f>Sheet1!$I$74</c:f>
              <c:strCache>
                <c:ptCount val="1"/>
                <c:pt idx="0">
                  <c:v>Total</c:v>
                </c:pt>
              </c:strCache>
            </c:strRef>
          </c:tx>
          <c:dPt>
            <c:idx val="0"/>
            <c:bubble3D val="0"/>
            <c:explosion val="1"/>
            <c:spPr>
              <a:solidFill>
                <a:schemeClr val="accent6"/>
              </a:solidFill>
              <a:ln w="19050">
                <a:solidFill>
                  <a:schemeClr val="bg1"/>
                </a:solidFill>
              </a:ln>
              <a:effectLst>
                <a:outerShdw blurRad="50800" dist="50800" dir="5400000" algn="ctr" rotWithShape="0">
                  <a:schemeClr val="bg1"/>
                </a:outerShdw>
              </a:effectLst>
            </c:spPr>
            <c:extLst>
              <c:ext xmlns:c16="http://schemas.microsoft.com/office/drawing/2014/chart" uri="{C3380CC4-5D6E-409C-BE32-E72D297353CC}">
                <c16:uniqueId val="{00000001-BCC4-48FB-B989-A7E12232E9F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CC4-48FB-B989-A7E12232E9F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CC4-48FB-B989-A7E12232E9F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BCC4-48FB-B989-A7E12232E9FD}"/>
              </c:ext>
            </c:extLst>
          </c:dPt>
          <c:cat>
            <c:strRef>
              <c:f>Sheet1!$H$75:$H$79</c:f>
              <c:strCache>
                <c:ptCount val="4"/>
                <c:pt idx="0">
                  <c:v>Female</c:v>
                </c:pt>
                <c:pt idx="1">
                  <c:v>Male</c:v>
                </c:pt>
                <c:pt idx="2">
                  <c:v>Other</c:v>
                </c:pt>
                <c:pt idx="3">
                  <c:v>Unknown</c:v>
                </c:pt>
              </c:strCache>
            </c:strRef>
          </c:cat>
          <c:val>
            <c:numRef>
              <c:f>Sheet1!$I$75:$I$79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BCC4-48FB-B989-A7E12232E9FD}"/>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[ecommerce-blank.xlsx]Sheet1!pvtproduct</c:name>
    <c:fmtId val="9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long we take to ship?</a:t>
            </a:r>
            <a:r>
              <a:rPr lang="en-US" baseline="0"/>
              <a:t> </a:t>
            </a:r>
            <a:endParaRPr lang="en-US"/>
          </a:p>
        </c:rich>
      </c:tx>
      <c:layout>
        <c:manualLayout>
          <c:xMode val="edge"/>
          <c:yMode val="edge"/>
          <c:x val="0.33648389929320993"/>
          <c:y val="4.53900912001300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Sheet1!$B$205</c:f>
              <c:strCache>
                <c:ptCount val="1"/>
                <c:pt idx="0">
                  <c:v>Total</c:v>
                </c:pt>
              </c:strCache>
            </c:strRef>
          </c:tx>
          <c:spPr>
            <a:solidFill>
              <a:schemeClr val="accent6"/>
            </a:solidFill>
            <a:ln>
              <a:solidFill>
                <a:schemeClr val="bg1"/>
              </a:solidFill>
            </a:ln>
            <a:effectLst/>
          </c:spPr>
          <c:invertIfNegative val="0"/>
          <c:cat>
            <c:strRef>
              <c:f>Sheet1!$A$206:$A$221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Sheet1!$B$206:$B$221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2F06-41AD-A6F8-65B8A5403770}"/>
            </c:ext>
          </c:extLst>
        </c:ser>
        <c:dLbls>
          <c:showLegendKey val="0"/>
          <c:showVal val="0"/>
          <c:showCatName val="0"/>
          <c:showSerName val="0"/>
          <c:showPercent val="0"/>
          <c:showBubbleSize val="0"/>
        </c:dLbls>
        <c:gapWidth val="0"/>
        <c:overlap val="100"/>
        <c:axId val="1357622111"/>
        <c:axId val="1357625439"/>
      </c:barChart>
      <c:catAx>
        <c:axId val="1357622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57625439"/>
        <c:crosses val="autoZero"/>
        <c:auto val="1"/>
        <c:lblAlgn val="ctr"/>
        <c:lblOffset val="100"/>
        <c:noMultiLvlLbl val="0"/>
      </c:catAx>
      <c:valAx>
        <c:axId val="135762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57622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[ecommerce-blank.xlsx]Sheet1!pvtrating</c:name>
    <c:fmtId val="9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How</a:t>
            </a:r>
            <a:r>
              <a:rPr lang="en-US" sz="1800" b="1" baseline="0"/>
              <a:t> Satisfied are our customer?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Sheet1!$B$189:$B$190</c:f>
              <c:strCache>
                <c:ptCount val="1"/>
                <c:pt idx="0">
                  <c:v>1</c:v>
                </c:pt>
              </c:strCache>
            </c:strRef>
          </c:tx>
          <c:spPr>
            <a:solidFill>
              <a:schemeClr val="accent2"/>
            </a:solidFill>
            <a:ln>
              <a:noFill/>
            </a:ln>
            <a:effectLst/>
          </c:spPr>
          <c:invertIfNegative val="0"/>
          <c:cat>
            <c:strRef>
              <c:f>Sheet1!$A$191:$A$194</c:f>
              <c:strCache>
                <c:ptCount val="3"/>
                <c:pt idx="0">
                  <c:v>Jan</c:v>
                </c:pt>
                <c:pt idx="1">
                  <c:v>Feb</c:v>
                </c:pt>
                <c:pt idx="2">
                  <c:v>Mar</c:v>
                </c:pt>
              </c:strCache>
            </c:strRef>
          </c:cat>
          <c:val>
            <c:numRef>
              <c:f>Sheet1!$B$191:$B$194</c:f>
              <c:numCache>
                <c:formatCode>General</c:formatCode>
                <c:ptCount val="3"/>
                <c:pt idx="0">
                  <c:v>7</c:v>
                </c:pt>
                <c:pt idx="1">
                  <c:v>8</c:v>
                </c:pt>
                <c:pt idx="2">
                  <c:v>6</c:v>
                </c:pt>
              </c:numCache>
            </c:numRef>
          </c:val>
          <c:extLst>
            <c:ext xmlns:c16="http://schemas.microsoft.com/office/drawing/2014/chart" uri="{C3380CC4-5D6E-409C-BE32-E72D297353CC}">
              <c16:uniqueId val="{00000000-33B0-4E2F-B7D7-D9153D58C3EF}"/>
            </c:ext>
          </c:extLst>
        </c:ser>
        <c:ser>
          <c:idx val="1"/>
          <c:order val="1"/>
          <c:tx>
            <c:strRef>
              <c:f>Sheet1!$C$189:$C$190</c:f>
              <c:strCache>
                <c:ptCount val="1"/>
                <c:pt idx="0">
                  <c:v>2</c:v>
                </c:pt>
              </c:strCache>
            </c:strRef>
          </c:tx>
          <c:spPr>
            <a:solidFill>
              <a:schemeClr val="accent4"/>
            </a:solidFill>
            <a:ln>
              <a:noFill/>
            </a:ln>
            <a:effectLst/>
          </c:spPr>
          <c:invertIfNegative val="0"/>
          <c:cat>
            <c:strRef>
              <c:f>Sheet1!$A$191:$A$194</c:f>
              <c:strCache>
                <c:ptCount val="3"/>
                <c:pt idx="0">
                  <c:v>Jan</c:v>
                </c:pt>
                <c:pt idx="1">
                  <c:v>Feb</c:v>
                </c:pt>
                <c:pt idx="2">
                  <c:v>Mar</c:v>
                </c:pt>
              </c:strCache>
            </c:strRef>
          </c:cat>
          <c:val>
            <c:numRef>
              <c:f>Sheet1!$C$191:$C$194</c:f>
              <c:numCache>
                <c:formatCode>General</c:formatCode>
                <c:ptCount val="3"/>
                <c:pt idx="0">
                  <c:v>37</c:v>
                </c:pt>
                <c:pt idx="1">
                  <c:v>51</c:v>
                </c:pt>
                <c:pt idx="2">
                  <c:v>39</c:v>
                </c:pt>
              </c:numCache>
            </c:numRef>
          </c:val>
          <c:extLst>
            <c:ext xmlns:c16="http://schemas.microsoft.com/office/drawing/2014/chart" uri="{C3380CC4-5D6E-409C-BE32-E72D297353CC}">
              <c16:uniqueId val="{00000001-33B0-4E2F-B7D7-D9153D58C3EF}"/>
            </c:ext>
          </c:extLst>
        </c:ser>
        <c:ser>
          <c:idx val="2"/>
          <c:order val="2"/>
          <c:tx>
            <c:strRef>
              <c:f>Sheet1!$D$189:$D$190</c:f>
              <c:strCache>
                <c:ptCount val="1"/>
                <c:pt idx="0">
                  <c:v>3</c:v>
                </c:pt>
              </c:strCache>
            </c:strRef>
          </c:tx>
          <c:spPr>
            <a:solidFill>
              <a:schemeClr val="accent6"/>
            </a:solidFill>
            <a:ln>
              <a:noFill/>
            </a:ln>
            <a:effectLst/>
          </c:spPr>
          <c:invertIfNegative val="0"/>
          <c:cat>
            <c:strRef>
              <c:f>Sheet1!$A$191:$A$194</c:f>
              <c:strCache>
                <c:ptCount val="3"/>
                <c:pt idx="0">
                  <c:v>Jan</c:v>
                </c:pt>
                <c:pt idx="1">
                  <c:v>Feb</c:v>
                </c:pt>
                <c:pt idx="2">
                  <c:v>Mar</c:v>
                </c:pt>
              </c:strCache>
            </c:strRef>
          </c:cat>
          <c:val>
            <c:numRef>
              <c:f>Sheet1!$D$191:$D$194</c:f>
              <c:numCache>
                <c:formatCode>General</c:formatCode>
                <c:ptCount val="3"/>
                <c:pt idx="0">
                  <c:v>150</c:v>
                </c:pt>
                <c:pt idx="1">
                  <c:v>182</c:v>
                </c:pt>
                <c:pt idx="2">
                  <c:v>163</c:v>
                </c:pt>
              </c:numCache>
            </c:numRef>
          </c:val>
          <c:extLst>
            <c:ext xmlns:c16="http://schemas.microsoft.com/office/drawing/2014/chart" uri="{C3380CC4-5D6E-409C-BE32-E72D297353CC}">
              <c16:uniqueId val="{00000002-33B0-4E2F-B7D7-D9153D58C3EF}"/>
            </c:ext>
          </c:extLst>
        </c:ser>
        <c:ser>
          <c:idx val="3"/>
          <c:order val="3"/>
          <c:tx>
            <c:strRef>
              <c:f>Sheet1!$E$189:$E$190</c:f>
              <c:strCache>
                <c:ptCount val="1"/>
                <c:pt idx="0">
                  <c:v>4</c:v>
                </c:pt>
              </c:strCache>
            </c:strRef>
          </c:tx>
          <c:spPr>
            <a:solidFill>
              <a:schemeClr val="accent2">
                <a:lumMod val="60000"/>
              </a:schemeClr>
            </a:solidFill>
            <a:ln>
              <a:noFill/>
            </a:ln>
            <a:effectLst/>
          </c:spPr>
          <c:invertIfNegative val="0"/>
          <c:cat>
            <c:strRef>
              <c:f>Sheet1!$A$191:$A$194</c:f>
              <c:strCache>
                <c:ptCount val="3"/>
                <c:pt idx="0">
                  <c:v>Jan</c:v>
                </c:pt>
                <c:pt idx="1">
                  <c:v>Feb</c:v>
                </c:pt>
                <c:pt idx="2">
                  <c:v>Mar</c:v>
                </c:pt>
              </c:strCache>
            </c:strRef>
          </c:cat>
          <c:val>
            <c:numRef>
              <c:f>Sheet1!$E$191:$E$194</c:f>
              <c:numCache>
                <c:formatCode>General</c:formatCode>
                <c:ptCount val="3"/>
                <c:pt idx="0">
                  <c:v>312</c:v>
                </c:pt>
                <c:pt idx="1">
                  <c:v>373</c:v>
                </c:pt>
                <c:pt idx="2">
                  <c:v>351</c:v>
                </c:pt>
              </c:numCache>
            </c:numRef>
          </c:val>
          <c:extLst>
            <c:ext xmlns:c16="http://schemas.microsoft.com/office/drawing/2014/chart" uri="{C3380CC4-5D6E-409C-BE32-E72D297353CC}">
              <c16:uniqueId val="{00000003-33B0-4E2F-B7D7-D9153D58C3EF}"/>
            </c:ext>
          </c:extLst>
        </c:ser>
        <c:ser>
          <c:idx val="4"/>
          <c:order val="4"/>
          <c:tx>
            <c:strRef>
              <c:f>Sheet1!$F$189:$F$190</c:f>
              <c:strCache>
                <c:ptCount val="1"/>
                <c:pt idx="0">
                  <c:v>5</c:v>
                </c:pt>
              </c:strCache>
            </c:strRef>
          </c:tx>
          <c:spPr>
            <a:solidFill>
              <a:schemeClr val="accent4">
                <a:lumMod val="60000"/>
              </a:schemeClr>
            </a:solidFill>
            <a:ln>
              <a:noFill/>
            </a:ln>
            <a:effectLst/>
          </c:spPr>
          <c:invertIfNegative val="0"/>
          <c:cat>
            <c:strRef>
              <c:f>Sheet1!$A$191:$A$194</c:f>
              <c:strCache>
                <c:ptCount val="3"/>
                <c:pt idx="0">
                  <c:v>Jan</c:v>
                </c:pt>
                <c:pt idx="1">
                  <c:v>Feb</c:v>
                </c:pt>
                <c:pt idx="2">
                  <c:v>Mar</c:v>
                </c:pt>
              </c:strCache>
            </c:strRef>
          </c:cat>
          <c:val>
            <c:numRef>
              <c:f>Sheet1!$F$191:$F$194</c:f>
              <c:numCache>
                <c:formatCode>General</c:formatCode>
                <c:ptCount val="3"/>
                <c:pt idx="0">
                  <c:v>224</c:v>
                </c:pt>
                <c:pt idx="1">
                  <c:v>247</c:v>
                </c:pt>
                <c:pt idx="2">
                  <c:v>250</c:v>
                </c:pt>
              </c:numCache>
            </c:numRef>
          </c:val>
          <c:extLst>
            <c:ext xmlns:c16="http://schemas.microsoft.com/office/drawing/2014/chart" uri="{C3380CC4-5D6E-409C-BE32-E72D297353CC}">
              <c16:uniqueId val="{00000001-5387-4807-A6AF-FF4F8391601B}"/>
            </c:ext>
          </c:extLst>
        </c:ser>
        <c:dLbls>
          <c:showLegendKey val="0"/>
          <c:showVal val="0"/>
          <c:showCatName val="0"/>
          <c:showSerName val="0"/>
          <c:showPercent val="0"/>
          <c:showBubbleSize val="0"/>
        </c:dLbls>
        <c:gapWidth val="219"/>
        <c:overlap val="-27"/>
        <c:axId val="1506827343"/>
        <c:axId val="1506833167"/>
      </c:barChart>
      <c:catAx>
        <c:axId val="150682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06833167"/>
        <c:crosses val="autoZero"/>
        <c:auto val="1"/>
        <c:lblAlgn val="ctr"/>
        <c:lblOffset val="100"/>
        <c:noMultiLvlLbl val="0"/>
      </c:catAx>
      <c:valAx>
        <c:axId val="150683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0682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solidFill>
              <a:latin typeface="Aptos Narrow" panose="02110004020202020204"/>
            </a:rPr>
            <a:t>Where do our Customer live?</a:t>
          </a:r>
        </a:p>
      </cx:txPr>
    </cx:title>
    <cx:plotArea>
      <cx:plotAreaRegion>
        <cx:plotSurface>
          <cx:spPr>
            <a:solidFill>
              <a:schemeClr val="bg1"/>
            </a:solidFill>
            <a:ln>
              <a:solidFill>
                <a:schemeClr val="bg1"/>
              </a:solidFill>
            </a:ln>
          </cx:spPr>
        </cx:plotSurface>
        <cx:series layoutId="regionMap" uniqueId="{BE976F20-035D-42DE-9DEE-9C85E8452146}">
          <cx:tx>
            <cx:txData>
              <cx:f>_xlchart.v5.2</cx:f>
              <cx:v/>
            </cx:txData>
          </cx:tx>
          <cx:spPr>
            <a:ln>
              <a:solidFill>
                <a:schemeClr val="tx1"/>
              </a:solidFill>
            </a:ln>
          </cx:spPr>
          <cx:dataId val="0"/>
          <cx:layoutPr>
            <cx:geography cultureLanguage="en-US" cultureRegion="PK" attribution="Powered by Bing">
              <cx:geoCache provider="{E9337A44-BEBE-4D9F-B70C-5C5E7DAFC167}">
                <cx:binary>7H1pc9w4su1fcfjzoxoAFwAT0xMxZC0qyVpsef/CKEvV3Ddw56+/h5LsUVEl39KLrnhx691yOzpk
VlJJHmQi82QC+Odt94/beLNWb7okTst/3HZ/vvWrKv/HH3+Ut/4mWZcnSXCrsjL7qzq5zZI/sr/+
Cm43f9ypdRuk3h+MUOOPW3+tqk339l//xN28TfYuu11XQZa+rzeq/7Ap67gqf3Nt56U367skSGdB
WangtqJ/vr2p1tXm7fY/sz/fOlmdVv3bN5u0Cqr+Y59v/ny7JcrevvnjX//840XNdv72B6V3XtrW
AIo56zj4K1NpsH6u3bcszt7sqeK2hs9e2JsY77Sq7/B8ujixODekQcy3b+Is9R7/XaOMnuACp9Si
P1/J5TqByL6K3D/y+u5ObcoST3r//4n01tvF4//7v3ns2xGhcRx4GBJ/vv2UBtXm7s09nOXbN0GZ
3b8f1TvZ+Gyfbnbh9QxAvJ7/R5DerNM37+qgfHP1IyjzQ6BrnjDBLCoNQe4/gHIbZHJiWYRQyuQ2
yP8Xqu3G+6Ub7QH9S6JHNgrsuqo2B7BseWJSpsOwDXn/EVPs6YlpGhawnxj43grtRnxbfA+ctwWO
DF0ni+tyfRB4GZFMt6j5YNqYnLZNm50QInRLGvDsD1Pag//eX6Pd+E7k9wB4InFkCP87xrR4dwiI
+YkghmDC0h8smD+HmHFmcAvYP0X4FRrthnh6gz0wnoocHch5kB7CSyP+kroJK37BS1OJMIxz0+TG
FOR9NXoJ4y35vSDekjg2hJP1XaYO4KjFiQ4TJUwAwG0PTQAtY1In8mdwtmXFeyv0AsDb8vsAvC1x
ZADfBBulDuGmEWhZRIefNh5mYv05zrhIhCUepupJuLW/XrtxnsjvgfNE4shwRhK9bjZqXR7Elqm0
GGWcvxB0IZ8SY1hmWNve+lVK7cb5+S32gPq50JGh/VEFYAH6vx9rA95ZZ9zkpvVi9DXSJhQh+DbW
r1BpN9LTG+yB81TkyFB2MvA+o+8uq0N4cHFCqJBS1/kLqTI7obohTE6RRD+do1+r1268d95lD9B3
yh0Z8rNN/OYyAyd8AAsHw2kaCMFG7MfPs/zKOGHE0JFfTRKsVym1G/Pnt9gD8OdCR4b2SPldgJw/
BBfKTwwBtJFtvYA2O2FMUHDhE3/+KqV2o/38Fnug/VzoyNCex29mmULa9ffbNuoanEnLZI/UiQS/
/Sz5kpLCqYP/xmeC+atU243581vsgflzoSPD/EqtU+8AzlzXT/gIp7BeIlLApplIta0p1PtrtBvn
ifweIE8kjgzhVdofwqAtkKHMZATFyofPxKCpOKFSWpYQkxhtX312o7slvQe2W98/MmQXKOWmh8GW
69QyTQoE7z9TbEGCChN/6KSWsb9Gu9GdyO+B70TiyBBGyDEmWPH6IEQZP9FBhYLvfIy3d1QkYb3U
MKclq1eqtRvrXTfZA/BdYseH+ht7AxrlMLYtTDZWoh/D7meBGD0xCCMWnVJmePGv0OpFzKf32A/y
qdSRIX4d1+jHOkDYLU+kbnGE3Y+e/FlKTU7QjCJNZGHbTMr+Gu1GeiK/B8oTiSNDeBlv0vQgACMG
M6lkILi3EypwZFJQrpsTsmRvTXYDuy2+B67bAkcG62md/Mjiu+rvR3bkuwW8sPEcWeMETYCYtdnj
vL1tua9RaTfEz+6wB8rPZI4M6Bt/fRCuGzCjlcDShf5SCYud6IISgb7BbZz312g3yhP5PTCeSBwZ
whfrO1Qp/35D1q0T1CjhhvljZxiorW1PTU6IhXKGQSdNn/trtBvhifweCE8kjgzhVZJvVLCOD4Ax
A9vFhGno9KEQPe05oCaaEkxk1Og82UFvvkaz3Vg/u8MeaD+TOTK8L1Cl3KjNAYrRsGmLo1FfJ49e
e4o3uvUt04Jfn/YCvkan3Ug/u8MeSD+TOTKkzzfqEMG1eaLz+47tB6Mdmeotz41mwLFQTdGXsD03
76vPboS3pPdAd+v7R4bsyDqcZeuiDg4BMD+RaCgxmMF2u22YMZPMAMW9u1XsdcrtRnvXE+4B+i6x
I8P+YqNusZ7I2W8d2CsWWYH4JJa00AH4QG8/Iz4JatNUcsofWggnxcj99dqN+ER+D7AnEkeG8zmW
Gx6C/LJO4JjRkG+8QHXCfVu4hgU3U/e9r0K78d1+nj3g3RY4MnTfraND1Jcx9SLa5gTli/vPjvU2
kprUEnySN++rz25st6T3gHbr+0eHbFluDjAtgxMxsABDyMdZmTyLrtHWi8uGsCaG+269r0Yvobsl
vxe+WxLHhnBWvvk3+kPizSH8s3FCTMZ08dM/T6dhtBAwYyxRwszHz2Qafvc65V5AfMdN9oF9h9iR
Yf9x46+TA/BhsG6wIBagf6G7gKHxTzdQf6QP9j+BfX+9diM+kd8D7InEkeF8sUbL/kGCbMkNZFfk
seVvat2A2dQpXLjEladN3HsrtBvfbfE94N0WOEJ08+wgK57vG3jBaovHaXoHOyItgwuGIO2xi2gK
876avYz01h32BHtL5sjwfujSUOla3QUH6Q1D8RHL2KnQH+PuaWxGOSgTg0g+KWa8XrHdoL9wnz2g
f0HyyAbAxSa9y24Pg708QTs+1mXwxyrH1OKZjgUa3NL1cenGlq2/RqnduD9/rj0gfy50bGhnAPvv
n7wNNIFJgrYg+rjY7ll3CcrWBsMieQr730J6X4VeQHlLfB+EtwSODN2PNTo/D0GegBnTyRheP6x0
31XYYHLs/TQn8O6v0W58J/J7ADyRODKEb9a3CtuVpAdp9RRoLcFuFths6iH+glPeKl+huoHVVfiD
GteO/Pp1uu3Ge8c99sB8h9SR4X4dr283h9ndQiD0wsKbR8uehmfAHEs20KbAHsbEJErbX6/deE/k
98B6InFkOKPwfogmbhBj2IHmV/3q2UpZVDawdhIjgUzw3Vef3ehuSe+B7db3jwzZy3W+/vsDL6yT
ZBIlK9Sk7l3yc+ob5BiYb4Ksezvw2lef3chuSe+B7Nb3jwzZz5iO64N0AmL9Ovad0clL+xqMZivh
my0yocReodJufKc32APiqciRoXy5adYH2SUOGFqMA+XHds9dMzB2AEXuNClM7q/Rbown8ntAPJE4
MoSxD20alPG6PkTtiqMCSbC4wnqp/Iw4i4zVKz4x5ddptRvpHffYA+0dUkeG+IcAG02Vwd0hUmb9
RApi6vpjK+DzlBlNRdiGCr0kk5DrVUrtxvv5LfaA+7nQkaF9k8Xrg0XXyKDG9t6fefF23oytXA2J
3eOeLZHcW6PdOE+eaA+QJxLHhjD6K2fBxjtECoWOfYrqJLr2J6wIChgU63FQ4XhsG9uOs8cqwt46
vQDzs1vsg/QzoWMDOyijoM/qvz+pApuN/QyQMf3cuBceemrQFqZyE8twJmC/QqcXsJ7eYR+opzJH
hvSb0YYW2HjmNihvD2HbHEsnCeEgsH+RXFO80fGNEaFP5upXK/YC6Dufbx/kdwoeGfx4ydjUwl6r
H4fZ1sI4AbhjX8kL/UVj268U6DDCZuz3n4nNv1a9F8fAjqfcbwzsEDzKMeCoevj73f244JKjf4z8
LF5OZ3h0HmH7Z3iIaQb+MDL31ep3uG/dY2/Qt6SODXEw4YdoJwRjaujSAmn60lK8+0jPMrDAdmLo
e2v0AtLb8vugvC1xbAiPB6ccoqaFthOdMWzz/OjQn9kzFltiSxss05owajd7a/QCwtvy+yC8LXFk
CH+scXpKcpBzF7AST6BvDBi+kHMTbIPAKBVsEqK/RqfdKD+7wx44P5M5MqS/1T8OUd0aG8goVsGj
MHn/ebZoB2cgYcGOwMLpbV+9rz67Ed6S3gPdre//D0D29ypuPfB4qt2/f77bHWfq3R/R9qqllOgC
syzE2rvtdgy2KeZm4L4r2MZ++L9O2HtoI9ul025Un8puPePDI/7+pRzmcLqXD677dejfbF2t5/cn
Gu46Q3Hn1fvHx+GLk4uPfXc7Xtiv0vDq7s+3KCTrJhn79HBY4gOy4422uvbGFeQ/B8W2zAbb3vz5
VqNgxSzsOiRNiwu0f0rEUu3m4RLDgg5s0mxgIyowLBbHb0+xQ7iP0wxNbIsxbuE87l+DjGzc4KTM
6vtLBnJ0SQXBUTo4bQcLPn6dMXmdxb2Xpb/e2OPPb9I6uc6CtCr/fMvxNPnD10Z1TWJiNe8YHoDj
ISOvR3D9dv1hXMeJN/B/OM09Qv2huuQlL+2oCZRnC5/FM14YcskbsS5dr10UuenPaT+EhnaWlKLu
5YwHLPwWMFq7V76b1cXKwNmAiRPWYUvmuWbW/Do3lGqv0za/zPUo+Kiplknb1we+CMuhfC9iP/yu
x+bwvk97b5kTl9G5J9vM7e00i4MZMwZ/URVl6c0Ks1P1ynC1JNTntOJx+S3xrbDL7S4eWDfM9Noq
g3LB0i6gZ0nSDtmNN/SRtgwKN2TzKvPUUuoemQU89ZZdU1kzlbXhUov6Yt4WLl02kUXnbVcMSxJZ
6vPQ+DU9jWRvDXO9rHtv1jM5dPO41q3iIueuNsxTI9fKFckH66LuSz+b5SyzbgLLUqGd8jycW2lf
LmnuR9VNpMdKzi0jj686ZvlsWXD83Htl9nVoDRnaeeFFobI7P+OrIsY+VvOnx0JugX+b5b0KPP/x
jNFfP/7rY5bgv/tzIv/zj+Pg/s9Py002nq9WTr80muivb/3nrMnRJH4dPDkxtO0jQ19z8VUmSjBo
XzbRf8fjaU/PjXSU+mWkOPrGwBl0ON0IBWg2No88MVLC0TSEIwZhJjCV/xipwB6B+KC4Zd5bKez3
p5HirCSGFbSgybGIByZOX2Ok4NemVioYwz45uoXGUoPRcW+Up1bqKd6GoS7iK40W33D0aWsPdfyD
9uYqpklqh9bglKqeczOxScMXg+69k31x2YrEs902KVZJUCR27WmO4jVbeCZZkEy/aYOGzQXPaqfx
+nekcmeWluV2QKvPgWC5E9P4nW8WsdNo6jSOynVidZ5dU+POZUHp5FriOZ7ZnXeiuYtqWjgiIv2M
6Prc6hvTpn06zEmtxTOVmN2MibpyeC1rx+iJ5VRZ2i/SrL9mvWnOmBef152p271XfdW7qpuVaX+X
EesMMVE+K7o0t72mjOzE023TH2rYl7weJP3SuINnhyKIbN/XWjvmFX60wsAZvJzZSeK5NndXulct
ep65dlGUgc3a7vPgexcVT89zNz+HpRt21gfKThj70AbRrPG8ZB6l7MKl7KPbx9WiQYRvo2u0sauy
qew80oRtGPppoveB44r8izCV5lik92rPMZsi8G4qFubfSdF+7gejPa9EeZXrVbmMaRvbYaG+d16z
CtJomeStZRu1mdlG22d2rbvM9l1x4Xvss16Uul0H7ZWGXXPmUVQPM2YO3nyQgbA9JbWlltUfdM2/
M2M3W7aR59A6is4za11161z2CyO31mWvZ8takSUOefTmKm+T7LOkfnoTkziPNoE33LWd/2HQSTXn
dZ5xO1K+EGtFw0sX43tFqpScdhXLrphy5ZWRuOVZL13HkPU8bbl1iuNuQ5v4JHB8Q/aXejjwwA6y
pF3GJv/Spi0mjMS/0LtsUwwNOyWZJwtbWcIf7P/1c/ehyLjV6Mt+bqTg7+trz13d/R6lP+MR64SM
2+KNu1+C6adwJT9dHUIVU5pC6sKUOKtxLPD9jEf0E4QKcI4o1GNv8vso5qerG1cjol1DSoIlayY1
rVe5OoQv2wEJ9g3SsbQZ/R9IabF+ebz+JCAJwtAv/bjSL7ACMvEdMyoqr3Jqy4zOkiBpc+bQZuCq
sQ2Ss27mp/1wU2fuzPNT751eh3wd+amjV4XjkeJ7yGNKr1ta5nAKTZ8Xdtmk8irJquHM0+s4WBVV
zz5iOwzNXNGSKM2WUquuEld3z6LegjmwKArpTcBlbJwP3hCXtzL1rPZC6bky3+dJvGysNN64sPhZ
lgZ17NSGqMMlCQVdyEIEzYeq6KuVEbNSs4fBj4a5S/r6+2DwOrJ54ZNzVkv3XBVFKJ00bf2538nC
UYWq5jXpg3Oz6o13rjvktR1KV6JxJ/WlbRRuOyyxR+LgRKlfX/vMXPd9+p1H3m1oGckcO9AnTm6Z
m7xKNpbMaGU3SWHctVXgCJI6rPDaVToQc1FFWv29tTzLbhgJAqeFN3eEbEMb52+LL1QL8pmMWve2
C6zmtNRTtvI113+nRSw5jajil7you9WQ58XSMJvMUc1Q2UmUdo4pct9G7DbYsnEvAG4+syrhlG3p
zkSVnItaZo7pKn6BaWBYRUbs2wGTsW1If8nHaUt5LLL1XoQ4ValObZ5Gs1zIjTB8bSma4TSm8koP
A2vZu21la2US2Z6rDLs0uq+Gb7izqB0am1vmMqOywyG+nVP5qr2MMM04xPc7R8aYnhSK3vNQy9kV
8aLoRmtN/UNqWekmJIY6S4og/RI2hnKCoLhL+yY8/1+v9eC1YMG/91o2kqiHZZc7XBekf0VpWEKp
o79kbCHR7z3NU9eFUxVwZgZ69Dn2lkMA99N1mThvQaJx1ORYYLedSukngiPBQpiGbSQxAF7nusbj
prdyqXFvWVTDOTYJh6/EOqFt1yU7U8ux7su/1CLBZmaTVHMx9PrKavrie6P0PrGrolLKtnqNc8eL
BsRrbluU4ac+jMK5HKyGXKaKGbO0yL2O2BYnzfuuFVm/RoRClT/zkJ/UDElPE7LcLnQh9G6mW4Nb
2BGnxbBC8UZ55bLKtdi/ERVCRWVWLtIRjRPLhgMLPyZZ3HwyKi9kToyA7canIkFMBM+7yPN4PmRV
XJ72fpDbMbK4zylttNruw6r5nCdSdLZu5kPvGOlAY0cri9SJ9Fxc61GTf9OTIvymmbl5CueOQIw2
sXvFCfWEHYswuBjKQtRO4g6IHEVguY7M2Cr1SOIkelhfEI0nl9xKmw8JUqS5qiNmOEjYmtNac02n
jgvxnaVJNziyktlgN6q2OpuLwOROSGP+QaMiG5yhSoLTWPHhNmGaPvM9oy9TpyeFqdiilmaYu7ah
11G2Eo1eLU0FQMpZ0GnNtypQlM6jxm3mRkhrP52H0ncHaz6wZmhyu2/1YZCn0hP4Wp8rb8lJNbwv
VYNUVqble4lEehHGYATsuDT8j5iyLqVe5u11dp8Tp5rXkLlXkixxvPu82b/PocWYTkdxyT52so5r
z7bqKLTblATxKdHTituayN1wVVAVdmcJD4x2Y7XC2yAD4cu60t1FHPhZYQeS+Xaplb2daIrPIhGU
X32d5uqq0DTpWHDM/z96rqeux0QD0++c1lMC7YF8uydT7qW2nBV2aCE4dM3EkR+44c84i6HQPjY5
w1sJEIDjMV2PzspAgZWOy1PIQ7I5HgHzNM7Cli9o0IBNjxTQq+Ksqa8C74OyEHZyQ6+ejn38EFo+
DbOqQc/yoq67y7TV5bxpXT+3Mz3kkRPxtnlvaWZ/FnZNGs0JiapvVWY0nyKj7BBAybT48uTt7WCh
xm3DtjwntMHK9zG8NMaDwseDKJ9qY6R9Hkm/bi5ZkdJLOMbUtWueWb4DoiaTdtMa9Tfe5Fpgq0Qg
titCFSG1HUpuIE7h6Z2sKnKFe/j1jMUx/TSYmqDL3jLdDe012i1+rzGbhqmjxtjJFFstYWLBjuIT
3swIuA9s++pS70zPm1ndEH9qMHHpi4r3mWk3fUdDcE2usAdu9YHdR0RfJo3q6Uw1WXXnd2VJnUDL
zVlZBRmyysQnCFOUGXlzLwv966iW4NqkX85QFJCfS784j+LW7OZBqVkXgfKbZPn7p3oOA1a4ERAN
OCkQrXz3D/0k9ua95rVaHpeXaeXKzxl8HLONiGFo5GndXbedkje5S+Ovv/+141h7ykFimyIcSMl1
EBzY84Tpo1pPfq1JOs/ISy+9TMVAL2nk15dpiUBLuP7n3/+mKY8y/iaJQzo4dsACbyAm4yxPjX4o
lJ9dipwY66LNVLx0K9EzO8r9OSnqeHB00ovMCXWzTf67QTMOiu0HxUDB2U8GjtVFsDD99eibDXwv
TQJEy5G5TsLaXEfxqIM5JOXcUllm9wTQL9u4aJldRBnfVLEsV61EAtBZuiKO3oZZ5IQ8TT7pKmeY
3UTfb3KtyWdEGxLumDIz1KmJmKB+cPQP1PYuM30OFGpMcBvo/2E4gdCAT3sKFLFqMzVNV7sA6Zus
A1WVmOG1qEoNxOd96p21fhD98ITM33VD4S+szOgCh9GG/1XxYcic3ve4Y2RhswmUzu8aM/f52e8h
Np6RZQ8ZJBbwjsfiwTpHyvvJcLKUCIjykUGGRpG7Uswq6Q9LUEq6XFRNXTuqK8j7JunNGpSRzx1F
02XJVL6MDaSXUVwkH/LYTBBYxK33pQ2TbNWXFSgfs8g/WWUkZm6Ruk6dhSEojkoPW9sNy/SyBRmM
SXbQ555HQehqg5smDmv85NS0qvgDC71rr0/1zo5rXlxWbvGxYgkCFKtheJFBz+AbjHoYbNKK8F3s
m+KbS2rjzAcv+G7wukY6LfGNxMGgC1aaUIgo214MM9qa2mwIu9u8LKqbGmGUb7dJxRduWYysOWMf
C5+20dLlGg1s5KDuD+wPiCw6SAvte53wZJbnJVtFWZqvaCHju6DJLdi9nkQ3gXQ7bjeF4Z0pV9VO
j/ewpAaTV0WbdHOjVcWC0o42c1A91HOa1hOF0zDfnSelrmZ1LlEi0MC9U5pVp5hqWOukJLRsASL/
a5cQ/5wpmd+YemUuaxlqbFFaybAWVqbmJenCYdFEwltoXUfWrIzbv0ovz01nYBUBEeixxlt0VZjB
ONoWlHpTi4XKXH8GHiE5TfFVG+5cZXjRScPtsAxDzeFuy22emd1gG1XsgjLQ0mSprGjuGXVP3rdI
RWZBqQi4OoykaqFXrSyXnc67d1Y0DLH7vm6LKknsPoj7VN35rs/Y8K1stY4nvi0VXHl2y/okrHSF
tLOuc3JZRVUSdWcyQJmhkXXlrhIVINIOWZzdEK7pq7DX9dqpgYFr9wVBxjr4iRCz1HUxH1Zx1BZz
K2o94qi4oii+FMTi2WnU89af9V0sq3dWWekYUa2b0bJ1asyFC0vzQ/eqAflieU4hcoEBp0dlskjj
QCFULTB5ufOuCSxHc1G0NO3eJamBlNtNEseXdesu2pjHybx0ERUszNRLBkcMJjxmyiIDQb2vtNhu
SlQ0rstAS5J55gXiL61ueEBmJGPVMgAxIi5NzfXcs1TnFTdDJ+3KYuhPS7QYK3+eez5P5m7ZDMVC
qjINFn1sJf0pKcskd0zWx4HDO7OPlyooAs0BrOyLlicDnWEFSpTM8JdoV3FItBKvPEXOniQyWelK
VvE88ivrw4BYWV+EWsboud/6JQel4DO/WrqqydMbTMb6WegNLFrUOTSYIxvyhrmg3SAdEfZ5e5GI
HkNbg6momUtpfaZ004xnnqt79QzJCuAMeIn4JB1CfdjEEdqwZgIKJDPkgH6xoiQwTr2AR5YDdqnQ
Z0EWuLOhdiPT1lqVy+vQbUPD0YMiHOwkDwftnLixsaC565lQF5Q4qnH+kK38gLbePJKG39rj92wq
A5li+Hh64XRtoA121QXad4XDDnvNDmBH7JIOaTAEtmgMTf/Yxy2rLy0wxdkslUV1YdYppiSv5BEE
ZIIKyMINfJp+Q76X+mdFn8TdomzNIThHild9NEIQT2bnJq4tKAbvok47rs9LawigfE3DZBbrRVQ6
onXnAQ2Kb3HbIrIIvbC5KU2r/ZErXz9teOu5cxEhtbZT4eI+ZpyF3SJVDb0culw33peVST/SSsM3
WksrhVPRnnfzhiVhcKo6xkBnca9kV4HG5eeUFOPgDMOiXKJe6JfXXW+AegIhD2z8NoViWQmne44Z
TH7WBcHoTuAl1Qx7HHfZqiqly65DZKHRByZSaaw6I2zri6qrxuDT77trM9Ksbp61CX51lg3gmTqW
VGMFkY8PP6rewj9Brzyhl4aZ4inqwsSr8qMsQhobNTCdPPai4H2qOExe1YgKPFyDT2VV6l8V1OhV
auu5TwB3q7r6ItH8vLQDUhfdohvZkHnfFGx0GjAmB08EB9Ih/0acXKXJZxeHy56JJkDBQPggVJ2u
96x1m+pQo1Nh/0GvOlKeewhzw/MsT6PwRmC2WJYpoZeF9IpvOPjMKmzf8AN2lglP1ueun3nNrFe8
QC2K9/oyZ3itDuFFfxvFkXnd1UhxTwvSN9GX1kq88jRB8favfpCjDwmK2J8hDxD6PGC9Xy5yK5Ff
NOImCyTMXmFzA26uV63/Iciq8lwmUWjOTKaYB7dnGpiOfCY/q1BrvHnMUpjJoLm6XBlpRotNAofc
n+GQJ9hGO3rseWhqeKMdcvg5Jpm2OKeqZpbjyrhqMNPqDUHoXYTflWzkR61HmH42yErRuwp1qNJO
UOdHraZluFWXoGDuGK1neascsLSOFklrMWRNU110PY9vwqYsbMHLUyPpGvN0aC2AExFaDss8jrLs
IrU6451WESOb+0WaNOde3+a+I8wy8T8iEinviEzhRuA6y8aOfLCltmwbUWAW6Iub2Cto8JVmgy4a
e0AE1n/KK12TuFnpqrnPtcg709y8/eF7RGucmJdWtAokoe+7UnOHpapRBZsHQ41BGrAq1K+7KB7M
y8TK49gu8oZYFwb1jc7pEd2U89bPgVor0sCz1cDBFomyjOe00zs1a2Im1HIQKOvYkdF5fNa7PSkd
Ny+t4ktr9vRj6CuMNcx08jPGelJepzKlcLAsl+FCoJDf2l39DQXCVlA7ihr+yWRp0c5a06uMC8ON
RfOhcEupMLljRM/zQAeaSBz67l2gV1H2jqvc169ZR2Jr5XaZxHN1neZdRErL21lSuvAZiMbq6iKO
XeivZOQtSl9E/qztCFn1hQG77y0LVSvD9fnFfVT62LbyGDs/NF48rZE/LZnvU3u/CG5VVmZ/VdPi
+9aN/udV6E0kWi9zwB+xj2ZQ9U8ZmIfem1HsJ5+C3nPDwJnHBhgCHIg9MiO/+BQdbaz6AyXMkLP8
JFPoCfjecdM1lPZRoBrbmH+SKTjeD6UsMCmIZNDPjrXGP1t8trBE79COvAh85SSxw0GfODMOmSUi
IzRamiNb8CTlQODYWSgsJ9cpzQ3jomS1i4y/DkhiIjMau166rmnAgfL8tmiS70M2+MtOS28MVFFs
nf/oG1R98to7VfCABRoa7EogpKgNfkkqFNa1sI7tLO8M281kMzO93l+w3EICk3uXmuZGTtP4lRO6
2VXZV3eaFeW2Kds79KfAxWSlU0skaZkIzjtjiG1dhhdaXlwrkpmzDB05l4iMmlnl4hrv1Z2WVRlm
IvWjCarFkET9EuT7D62jC7+tqM0775Tz6jIdItDOke/aZtF+a4X2Ka762AkjeqOb1VcPRcilFJpY
UgRnVx4Wsc3Be1V2bUYK8Yu35nzIlqXZNLaQ6n0QsKvMKGLbH9gNeDLMOHXwvmPkLCHmxqiSpa7a
dWkE5wbrI0dpmtMJdo7QDt+WpwlRX2s9WGVdbc3SyPualdZXGf7Q22yGLdFvSylvFSuv1BB8MbPu
NjJEMgMlMcxwtvq1BmVBlbeniR9odohkADNK7S36KLgpA/2yzrXLQS9cJyQBs3sWow2hEMkqpPD1
Jq2QcBHjWjPb+BxO2LNNDZml19Hz0Le8ZajV1qLw4gu/qMlclB3ySO2MtYWyJa/ORNageC6Tq7w3
pNNHhVipPGXLvmpR4gqzmQpq38n7WCwj7qtZSJJmbjVuNzdrRmwa4yrv2any2s+u4GCC62uL1Fck
SzE7abJYKiN1ECChZSCKVsz0IrurWg/9BkNvW0StEs1UjmKau4ShuU6bNecILC59QIFvqh+hpj5Y
jXmNvGPlhbxzLBYujTD7lFTGqaRdakeD9akKC5sk3ucyqzbotdGcaGCZbdaWgfRR+gtR/xd7Z7Yk
t41161c5LwAHQYIkeNkkc655UJV0w6iSVBxAAiAAjk//L6rbltvdPhGOOP9Fx+k7h0spZWUSwN5r
fWtjfZVNr/PS1+ci1i9kGGze2umZJE5neCnsh5b0u2AUjwvxlx0wG52ibfzoLOmyWulrtiS3gi1l
6pbZT7maroZ5nHYzn9VtPMFXII3heaNqPytEcpzQd6UiMPObK3STe1YXeWDgxAaieRlEHrf1c+Bo
iyewjndYazlj45ChM3UHaZ1MQxTkx5n66BCVd9nqfybJmqPkDPKVkHtYgdVukf2ax353U0tfpguZ
o6wOApPN5bodR28CksP2rD2y4EyWD+HB1ySleVCx3QXL3OTQIXacqU/o5T486oEGi9mHWb3PiU2u
vKm90cvyiIIpTkNLKvA11ZwuXf9QDfatZWuX1ssJ1seZDUkLQQPeEZ69Bsc0ywxfPnxrvpRkuEzK
3beaXLuxEXsgg/kq5usgGeeMeqNIQwnZqRmElw5JNWbGuQ9APl3azpOft3P8VoNagXHvpVYRkfoK
ejDsqejsBtAfFppr1jbsFbtuD5PL2HRso6+OcpaCaapzbMgXS8yM5mIY9tU6nl0RjJlvyoeomt+a
OixTzQTbmL8WvaCjmWX9MeqivK/qFbbt/OjCHsVtI3ftXE15L2p/J2VosOgUlgSPrltTNzs1Fzeq
DWTGhmLOYlI+FgW7VTp5TAp2DOaFZ5HczOClfSi0voFg0+9Lx9tXM1ngPNN4RYCFwXHaFnbYvMBb
dGk0Tuh8k4llpV+9z1JF6cDq/TjJMzb0h4WpERVvB3bJH+41G/20Bto0gh47AIyBMGIDloaReiq4
PFdFxDLRt1e2Gu/rkEk4cLAD68BClTB0J8sWrx3HxzBq+HGVw7tVzZAm2hSpL/0qi5qeZOVKPgCg
4byoTH3gCblHo/ceBVjbfRvzjHWcZO1cohktVnnj9QlLjepfYfkVGZTPNu2WOUoDf1JpxT2aK+zZ
oZbevqk9t2+deh+S+kVpPEhTIfeLK01K8ZWnOO5MNgWBQIPplXuwc/hMoR+cgmCCP8agi1RMYNGE
LT6l8blaxP2EMzFzDVf4YGyTwnEvs5YseNx4LPIBwkzK27G+0mSdcsGa64UEChZpPIHmmKaUiOgZ
MMQB3ey3UIV3Tam/z7D84PU3r1Hk6nQyBI/eIK8gYvY3cbhe4/yHkhfLo0fpybXaAD/zh53gnnrt
26Y92bV/Dnws/FYGL2Rht2Aevk19u0+K5hmHvXepIytTnP8nW5e3YBKeklUcA2IntOLjpuYp+KNs
Ohbg1+KtXVAjm/BWwjGH5/G1nhXJO6MgvCi97hfFH2jR9bswrBg0glnutEZJCsCsOHlmeYsIHgZX
jf5eCP40y1ikvCDnuizfTBPnpSAgKhp9UL3C62N9p8RIU5V45Y7Q8KtuZrYfXI2urYbY1Ud33hB9
Uiw6FLqdj2sZfDTeFGOPpUPq+1Bd+Cwh1sbtkDrIm6mnFjx+DXARaJJJ2q/0c2THm4SJerdqfLGG
YNeulqDMm3iZsog0bx5QOVFPEKjqosn6UV/qscVH7cwB8Bta0wBaz+CJY1OCv6h5gPPOgevo/UJm
qjHtDtHTb1VJ5rTnpdmP8Noz1Y1jrrwlQzu87arRS8dLmpYlvOCuJ0+gOJ5NkqhU1kmmpvZqsDRM
y4G7DFhtD364enRR3O+K1p2GcrBZ5yXPTA53ZTslWWDdtOs0GbI+wnoKRrefS9CKvpAngspps8S9
bPLtuy67u9nHeY5PC0dIc+wjb8rWvv4+6TEjOvqIPPJEAkixcRePmUjER4xeDl6U/3VczAVO0ZQu
cfjVjvEBFrjJZUnPhQxknqwjy+ZIvJRdZ7N+Nn7GhyhrSLcvi3ePl1coDFjKGVEpHZqzDg3N9NA0
N36tTkUP0oVz8bmE6552U/NEDZepHshD3CVR6kO8Zsn0MqPmSqNq1anTSu56F5TQcWEzd6LHr8N6
tHSTYTul2IX36o5zgIgiBvuJdfeBuU0gSyc0v6UI9t44vOoRS7cy9L4tpcnwLFwHUe12MgTBPAj9
GNX4jqAGBygvZ+zTRl7PzMi9idiZcve16Rab0dq99HOFPWjwnte2Ps9L++Qz0uWTxZYae+/juOLh
h1SRJi6ecqSsrrQ1e+nNPPUgymM79BSe2uZ7gtq4GqMq1bP8vnYG7btsAEiuJ9+Xr8DKchc3z3rU
IrOo8iBuoc7s8WRWyRQfQJvjTQ7xwZvNR1ShpIvVDJoBNd/YwKZrm9chlqeiKPJKyLeCi/fGDbeM
9aDSHM3Lbt5DF8VJGfTHpY8f5oru5nDDb3v1ONvkqFlySqDS915zB/c1W2q6pEsA1qtod7UZrwwU
p6EGdBt6o3+2DV2yvox9cd/KNXpdVB3xm56EI/5H6DS0Fx5lQ6jJ3/2T/9ed6n9eD7rNnPnzHvTv
82D+tQX9Manm7R95DYSsMGWOwvf1/DCAA/+zBUV36kUc0CKGeP8w53/tQhGz3f7oBgRxzK9DAuRn
F8p/8YLtihYKBx7mH/tLUQ7cn/jHLhT++UYzeYEfYkV6+IV/34WinWlgH/nLLcchfRc3S/dQUx2/
qpb552US4vOC5MSeu9G7nhYwMFDDqpyG4/opTib3CIGxPawrrS+ABYtdTJzZybrH+dB7N21bJddj
QIsr0BPmHuwcXj8CZMiH1fGdh+b0SHhynv0VjICr3JEi9PG1hotwaORU5N6ygkXSdv7SVVV5Vj3A
X0Zck/vSW1LLuc4gu31K/D6r2uBtKbr4PEAh3DtFposUKtkhsDFnswN2PLdw+4MBrHQtBFyAHvR3
HR5xq6jDQRg4k3rN6tAeNM13vdCJ3UM2yvt1LT/iRn+uZkjNazFmtdDnRkHZR0WJvmhNpsyx2L8r
afnqieVcD4EBQC3vQ9V7O1RE5OCicj2v5RCcq8qLd23QXijp7al2LMmBE7KDaCWDKO0Xx4ii6UdV
K849GG/07uP9ahpsz61FUUTCNSUhoEOBCsYvkxuYzgLkAD4dMhAon5MO8q6m9NZan+cwePSpr+x5
8JsvvY7ntGvRn4CKa3a01Oeq7FeXgUOtdmSiJm+J8PZFRI8I7eDwNGU2h+OhcwK+0jrot1GVzfXs
2HcilId9qVRpF3o8n2SbiaZ8jIL4vouB24t5Pvhj+8lvJpdcsQRllvHb27Gnd8rnnzxYBVmLxlsT
7zD7DgZFH+4KjX8n2nSIdmTltbWhzmBaX2xAv4ehGuDwTY9jBcbJ+iOoE5hNgPW927hMjrJThzEI
r5o5udaTd6jo4KMvLGkWFdHdUjT7taxvu7VGSe66fcKwz67hch0uOgeX/4wJRW2+zuwSFTjh4Kt8
6XwDHQA1XlLxr3OsDipcnvtEoJAqNIQRbcHmSXh1N3DmIZcgijF8ZXw1GQ1CU+0LNV8lk9RYFV0t
rmjUm2FrHtRZJ0WQx9TMVyVanNP/imz4n7cZb3ey//lmvA1J/det+Mc97r9uxQClIopZkLimEHO4
/d9R7BAKgebgqUebHCMsg13yVxSU/wJCFPswUBPsuT8Cd78KgvwXJGsS/AT3jf8A4/+KIIhLMf/N
Vgx+5scgDSTrNgD/91uxQXMEDtpfb+GqdymMHHRd29Om8djRpj8UeAzZ9jwWenj38IDWW7LGwyNr
w6JFW0uek7HPve2hXsGuh3jMfVSxqYcHP6rb/VLwO29bEfW2NnosEoHFMmHRKCweWDTHofFvm21V
8WiFWFaiGnJYctG29hwWIYnkBY26zmBBldfxtlLJtmY5Fu+yreIey7nDsvbCKc40FnqsgzuLhR9u
O8Bg5JhcBdgWRLQcilkguhMm9y02jhJGkNx2kiVsVFq22F0WbDPTtt+s284jf+xB2IzWbVcKkJch
2Ka6bb+CagFTtYUa6hJst5mPjW0AkL3z9STTASmpXFQ9CrIQbH37Xg517ha8dT3aw9CbWmSKNYd5
jed97FV7NYmjkXI3ly7JeluBr2jpyV/UJfBQb1ISoghfYOwaT0Muiq8m2DNZMkWPcFii/cKNy4gc
8Vskht1ymAtyGrwUJ0YEISZsTzxObiIRZIGULrOu+GJL/tRATDzVJDiypfjuMU+mHawUnkRdbkPQ
Ir6Sc0oYO6qqsMB8Ou9p4Qn6/jk8dVLOOSv1A6XtccawvQyWHUWfD2dP1bY4RRO8Kuph49RNAg3H
Dru1qpddD4M4xVHzFTiLzLA5j5kjq/+Q9BQMWih2wEnqA0HaMyeOelAtvESk7eJ31yIq5CnCeXQs
OfqaiXBx0jzM55hBtGAsSFFuNAeHVr4/Gluq4pFD7T3TqPpWIjG241Dazquu6oy25mT68gl+Ps5g
5x8Z0S7rXLSz1RDuRi5zPkp1kdzgTOg+1CxNytbp4s3jq7ZLnMI2/jT4fZPWQRJkY6FfR8u9XWzX
KxjLVzgjNkmruUfVMWZKlQc3hddy5VgS5JObqAdrbj2Cjsa7LtltbMvDwOk+rHHuWiZUmgh7aGL/
qo0gcnuJ+7JqkBGeeE7mqscRWJxKvw8P4+KQZqV9vTONsvu6km+JJ5DJgurclqDFkuRatsnRbXmH
KSbf6qJ+VmRB8ISUFYAO71tQ608w3HNStktqkMN9G02IHp18HtmmKzmOPFQ/ZnSJxH0k2BfU9RdL
42/xai9LqG9Wyi5lvSLLoMLbWSn/Wpru0MLY3uk4usB9y4xpvJT41cNYgoXBoLgvfvwkyI4t/KLr
ep+MjYVXXZtMavJUjzFNnWjveR2TzFfmsybuoYmGIoOoeVeFhcqgdOUBCrYOOhoh0XG10IaAkPeZ
Z2ySGbGkWy0YJ8kpHsUtUl1IvOBb9yd7GWENHES3fkkidNMOClHEj8Cum7QlTZm5sb8apvWU6Prd
D7WXAp/IeTclqa6bR9eG74mp+nyYbZXKPv5UEicz2hVYxGgj06Byu67HXpgmazvDn94O7P+euD9i
GBuh+ucn7naV23a71785df85JhtA9YwDHKPodLZW5jcPDmNGkhDJse3I5fFPFy7AgBLQzBTXnTH4
C7hY9mf/g4GRuBEL4C+GiqGqjv5S/iLYomv693gl/oXtTg7YbwEGovj0D0xuYxBHile/uu28lRXX
FQ6xLzP1Kn4KcQaUAPCn8LwOffQlqgCtHRMi0TdMM5k+w9S2n5KKqcckqcMV+OcwqX0gY/dig4EW
ELDaeBdVOM9YTT7NPvQraPssa31fZP4cQTCRh6Gkt8MYPWG5v03l+gYCjsGHfogsB9QUeQe/7epb
f4lhaYgItFWRD8QA74NoAj+ozEozWiidy5vozZj1k5lw5JU2tRTn+LLyFq0O37cSoiORMYezAuKh
NAaAdHHUXfTAxvChqyOaC+CVSzHfrNyUeTLSt172jzrwv1S8CVJVmGkvJeTk0l/XA68RFFOjqjNc
+4zdIL4auX31O7EXiLZdQbq8DJUY0r5AG8IsthBmIAOD1OCZXsXD2Ovnnq36OgDanK6SUex2OOIM
RJ50YiP6vhaqugtmAN3Qta8w8Wq3xvoVGu2YWerpfPDM99WaBSjT3MIgG46tRYYu6Y5UuFzHcbNf
kF5gzM0p95HiUA76U4PPANF9qMMjD4+1xH+xcQYSmKhPshLf4kTcIyeWc91+BVf8FClsu841SNNh
m681ua81/MYxjKus6JAOLofoqgziAIQle6ii6ImZDipSGH+LlLwgzPOgF+6lwuNtLmUco+5QTarK
+SJrmjlvQi5RyUNbQ8f0gXJmjo7p0MtPTWTbPIqmek/nehdp9yhBPmVkKnRaeXzP+ni8GTh6sHix
3KWGnZyIuk98S04bMdyv44iSA+EiuSI1iNosyJtleEbq9r0Yp/AYVehIQubtY8NfUB6/xkUJZ4W+
tV1Zp4Az08EbH8jC932x3raQcm3tQ+KGFLqoG1heV20i7tYlQimaAAsUK92bue5TlgiHEQfLBQ7x
nNKwuVK+wqZt8MYJfwFqSlIQNTj6m7nIiKn3YhI3oe5ug8RcMHrqDud3n7oRtGkZsz0J+i+MkLwK
fZiHLYIuKj7rMbpd6ilIZTRcSFLsy7FXOULGT7yJ3yMyX5to+O4X3ZN18QnXpF41o6Anr4oRJAch
nYUK30PRdN8QrsYSW8s45XM75FpGt/jlo9RN1WtvwgalU3frF/SuD9keHeA73POMQzyHli+gRAbd
nRsUv5JBdYk7J1+qKDEok1o/JZ5sL6QdACJWS58WXhRlcde9TUUhdjC+76ktXluiliwIfJNWCZxR
vl610l0PVGTtwD6DhHpD8X1eQ/yjk3/f6Dpvi+RUaXdrW+8AcvwYgBHa10V7PYTwTSXjcF2EzJkP
OhAbLcrs6gxyNLjU1Mh7OwtEseeRwg9c5YgAe7DmCTi+I234C4ZStWmpQCylfd3Yfd967tBZvPtS
KoyrmJm/UXFn4tX0psLCAhxdh7cy7tY0HDELJHLx/LL2snxALqq9NKwJDw4fwW5qSXukMVlSrWkc
pCVMby8dI1cdHQlIk/oV/ulFe3RPmkL8f5k5wgH2Mz70j3EzODn//JjeLkX/96/5HSaDS6loxGCq
IpgS/F6jDH5BcNvH1WRAuyP8iZ+NMcZfIMuxHe34IRJLeBM/G2MwT0iK0xiJEMTGk7/UGAd/TGDg
Yq0QQxKgheL3xWWX289/R8okMNoCr5fhrRjb8kLKri8e51lIuLx+LQ7T1mwsW9vRo/8o67Y9MRNO
Wbg1JwJb9KnbGpbpR+/StNzbz5vzzEASp0FHr3iINndqMMhBlPJMkia8jrdsJPTCPSBEmENO7JOV
fw/B6EFqm8ocxvDaZVFVXuQ8XRrZ7gkftwxyMzy40Z78cY6+tHOC7qGpkt1EGxTg6rgG+jD55UNP
5ZB70bLC9G3GTHbm6JBigW3/PS6G+zrgtytwDp/HjzXfhjXYV1JyfZGFuvRVcjIVq080mV5bHGic
VI+dHz4DnEa1y5MK8ZtAP1JbfvY9OKtc7xqv+BwkuLwBmb4U2GeRCjeC1axqvGdwkUEAR90YvbHt
yaUPKkB5xr8I2970rd+kcVNe9x17Q0Li1q3yw+GDhrmislXBYF0KjWyhiDMk5I+YErCptmlC/RgV
twRn7DfPUAEAW8fLeS3IKzfV/TKxIqtcA4cNQzp6NGq7ZKkAG6EC0LSAlTWpI1CXzwJDfoQiiHsH
Zt2XC+jcUldfLVJR2aJpmEu6HCJSn9syQVYKoLLUzM8nB1a0NuaTLiq2C8zHEC3eMRJRsitKFHBl
CLo6ph9kRo2Bazhv+3bo07Wu0QXH/RM3nFyRpD2K0MCtssdkO4kYmrbGacRlSgkWxiuXL5hWcuYl
+xaHNtg1I7L4ICw/M6PPYcm+zN5633PyNBr6edKFSTHI6SPu2LJpDMlO2+ami5ejsHOCw5taDEKa
vs8c5iQ8WZQqutw3/vB1gWeZArHZo3X6ClIXP2+MNnsfHvP7CMLsaoYtvDliaKQcxsG0gCAXdsDv
Hx27ZQNtirAekmzsDJplx2OCQgy7QY7pDTKBCoAXi+0TB+Mt0rpwucBQrX2CHX5JC4EiU+qqOi6j
d7tiMdwjVx8fMMtkArBgQ9Ac/jkImiBjZZIGPV6zoky6bUrowPHsKdCzWzkX9vD9BV28HQvq+dTF
JAQOpeoz5zNmEozhtFM15NmlAojgjeN+ct1X7pW3/YgSB5vUdYCqKEUPeb/YuMxt29z0kUYKmb5M
PFweDajWz5KiVvV78KIBnXNaGCgNDg+kiQKxk4gwoI126SzR6gcUa3a7Q+jQ+QkBhe+twBSQKOwY
g/qDDCGOqmvhjygwpY+SzFTp0EZeikE272YgQNS0n46BOaECCVKkjs4EMvKZli3PlW4odHZp0Fv3
EFkkn3ZDiaKC1b1LZRW3eY16aI/sXIfw8ep97an/iuRBsU8s/izqeH6A0Y9dSbQYQ9BBeLCk8TBy
qoep62/fbxF1KbqWCzCpA/j4mxorKpvW4dzAbakm/NYeCfe0VBcw9oe6K9xOJa1Nm9Vcb/BjNldo
KwI+4Bta20xbsXdNtew72d1XYc1yoAMwyXl44RhQk07aO9Sh+OyN5jAQ+7gKQHhtazqA8XB9qLi2
gwH9NqC7r2MDdEAfo8F+lAFiNSEOjxwBcyxYlEz+NZ+7p8427RWgoTuJTzRVrE52nQpNWvbeMWzc
yxLJ/cT0ZSj49xnZi7RV3dmJCZYynQ9xxB7/28ijkd+uEf6/VQh/azG769u/9PF/f9lvRQLurwQK
hSnvEaYpBFu3/lsf7+M2FsSMMaQJY7AwyOBnkfCjkcckBfBdmBH9T0UCbjRH041wYMTiv8vxfwGn
hTbwx0Ye6x53QYHPh1yP4Q2oVH5fJPC57JOBV8NtUzt95m3Cro2cL1y2PSoB8ynq4OU1Thylitv1
O/jWntwPC/z0fsVoEzq390mlwdCI5d6V7Kxsp1D6YvATXRdkbAXFWDjYUinT1b4UY3VCkMvDYYR2
Hah9WWUQ3+W+i3U7PC6l/pxUoCEI6qQ0RpqmgRpu2XmcyXoGKjVXRbbwpT4PrcgXvyAogM1HmcgV
8V6vOCwUeFBFRXJCrB8zFHB/7AXbvbjmgUSOrn7UQ1BhZ+sWb68pr/PREC+Px0TmKliDvG0BnPpR
AvSeJhcRYypMD+E/dL7bh7O+4SHO+DFQCUZUrRAGCod4TiWnI1C2G2oh2TnZfzZTeQUjdFdhQpdv
/WuPlZdp3drhRg84J9ASNJxn0wA9WcJwwQwVgllQxpUfxaSiL5j9Nxb7PuyxbyJomvHK0mNihodK
BI8cRsNw0lFF3H1NUcwhIZjJvoqg/WH0wmPkMJUCNG8Rj6CdC3YI6ATiNSzCD1EM02m73uIwSCHy
tZN3S2NvIqbPsq1ues+/cEf2yk5nAg5QrcD2cXLA3s3CWn+bpP9Qu+TzfzePHyogBZn+5+3FZRv7
+G/6C7zo160DY0kh/YVACkFsQrrDj37bOiABgnP4xyiV3+8c0S8MA/JAJmDPiX6MrPytvcCgy23A
ZYy2BK0Bjf2/0l5sN0b9swKIzgJ/H25nZhG6FfaH6C8tgs0MisObaiWBefaTqu1kJpeOArAlAzSB
xvr1teUieNUqmvsD0Np7jwRZ4gWI55l6xmwkF3tFlIKvsRicp8wK5x1uNKh1i9mT1hbnKYBBlapW
reJedeJFT91DRKsvKJ4w4S4IbnDYgSOWIXi5eK5xBlbvKq5AYwGT28JlFXLesBHccACkJLLOF0s+
BRaTWIpXnaBAuyg84EveVl05f0JGHORaPSAxGhqhVV7hb40yNSxOXjOyRBjW0hxrVhebRzjtMKut
Rthl1O9+s34pxwYaSQTck2q5t3M9gasD8tWQI0YZoXwy8t0LDLoaBKjylXXPdUm++tdaLteKiRzx
KXw8LTzEoi2eaM/vO+Whwh8PzXpPXfQ8jfYl4uWOSdMn/zu5mf88A9zDmfbnC/Fv3ds3Zf51JW6v
+nUlYnosGnbcJf9TV/9tJVLc0wCBHjf3/OEM57/EWBwYTRRu/jf9/XwRXKAKkX4boITrHbbczF9Z
iSgW/rgUMV0h8RC+QfwGc+E2jur3Z7jS4SrCpbC3Xhs8CWUffRteOmbvxazRoo+sOkMvmjrKjs2y
NHknRAGEDpqom4ci9XrMagNcOuSIrT54bF3RQkF4npiLUrvSe+f1GE6R4O+Ssap2baPpKSmNn+qq
fTQxZIBVKp5SNV+THoxgJxuNenokGZnDIo9BA+7a0Sfo46b+xpPdU4zz/ToeV3nV+BtGFPlQyQqM
S/Tb+MAszl8+KtCuoJfS1cinSnIczqTTKXyxU6/DfQHwamcFsq0x675jAsInpMdJ2vrhUQXkkayC
gge0MMERlVvD8h3TYZq0D4clA9q0kwZpkitaBt/G6s0EmUvKo1JFmU/jgGkQ64DufRGouttZ5P5q
9U4vzRsm3WIIrjPfBjedqQNmlHj4hcxYnKzhdxg1halFckdgnzp6hqP8JWyiE/YXliZL6OVJHF5B
zb+ru3lGW8wxB2amtyIyEA69YYdJxPhKgtimriztKTYb/F90D34JqCoh1dfZhwgpOSKhQKGAI1R0
7/fKT2080n0QYSypLpTbtcI0eSEmWAMev/Lr6gQWHL0UgNqGy4dZgP321oHu+gBDLLhFNQcdet5h
bHG/K3s3PpbOC7KCJi+wnKG51/oAlvJsRfzEkvWNklIeugU0Omb2NWOV5MqvRKqRKkemQB8nUJVZ
5PoziDyL76/HNOCuyURBpYdBxU4+8qLHP4zQghbqdmXma60mBfmH3OEBf0tUjUhUA1WpEvTV9OO1
QSo+J5xhzMsUfJ+n4fsYL8veuhkqiOXFEXb+O1QM4AJ4K5lAybevp+ExhKNz6bh3Hpvms16Ty9pT
FDOqOqiJXPXLolPrQdlyZUFTJQq029beuGbF8hmfKkDBfRXzowyQXwAl/FisATAmf3jpg/i0jUs8
8lCdUVIhMbZE3Z5bmPtl+GwqrzqPTkbQB9ZH/J3TVT+GI5LCSu1cGcEh3lLho0G8n8Iy2gdzsGQe
kCu03uwF6QOTjSvSNNZKeUbEASwegQVSLXWPWVety9YZw4xLryiPsqrMXROFSToFfT7LhSL7AzfD
X+GmuApBXHTU1lc1viAtwWc3A/wIgQmKi/OB2Sscr00EXMMfTt7KvVPPq1NMi/YQ4b2kfRQsUBGw
SjnEAdu4NVW9PDLXHxsSIfyzOgxtQAOtW0Kx0hgoDs+HQs6qOE9Km7stMoGoeE7YliJIUmXHZzo3
l9AMZxUsgN3N4xiPQ7ra7oBZhyKVmFqWSkFvYDA91yqUMAWqu44N9wKpK44cje3WV1tAgxMYWpR2
qvmEwR5nNnvHxdonB2Ip7Qfpga9X4Jnb+UrYfhd7Ru27hdvUN/N1YYJ7IZd2N090FyMk5Q8YebjY
4YOFgITgL2J6yg2Gvdz1TYx5u6N9L4oQORaxvrYVJsWynnOw+90X28VIvC6IFzpfP6mKXWai1W5s
8dRgus8iPmFYJjwzFskAIb3QR0wQcynCWuX/raX/Xkujbf3zI/xK2f/zN1l+b7//u4oaL/31HN8G
xEOqh7Dto5LCENWfFTXFhGlcvwPKLcA0Jij0P5tx9gtyphgxjdAptPQf48V+VexxbQ9mx0de+D/s
ncdy3FYbbV/l1p3DhRwGdwKgcyCbmZygSIlEzhlPf9eRbP2SbMvluctlW7JMNrsbjfOFvdc2SET/
snD/F804/f4PFTU1giyLRQLgJGbUsvjz7+b1CS525PdOcu7Z2BoWSpKN/k/4L1VEsP/pURDeGfQP
OmIAQwwEvnuUOmDQbyxGcu7KJM78EjqpAKjg0go0NV0lGjiokmnp0Qpt4BZVlHjZEhxwnic3chVd
stjeqEYUH0dZZhqvSIan2DhmMyWWPTmkv1fzXT9Ep3hAid8rR3kZL6AfTvVSHqZGuwJ7v5cTlC05
4Gc3kWtnbc2QSIPemFkFOJ8V3GYucBH+sEux/GT9RwyS3m1BhKZuE/SOw3R1didLclzYX4G5H8Ex
bYJxsvxOgsaXCC7f1C8g+uBNQG9R9QeIBRZsCkN7gQPUuhJ8rE0sp5G5ivoaFGM51+ljWSozan9I
jdvQEQhA5QsOcNDsszm3M8MzQQqcICnzWdcqzX5Y1Nr0s1qFkiItprFR0E0vtceejsMU00DezVRY
4Cqv7FqVTnz/yuee66bS1B9KqdjYzO98REG4U0UWQANhcatlerrvp9q0r3m8Vnsx5tBqD2jphtIP
2YyXsMum60hJOP7C2Tk4jWntB4aNz0LK+ThY1E12Bq6Xw7bXcSsykPeA56HWsqOBPYE8ts59WdoI
twDrr6QecblaoRnI+nTEDBHOu0E1hrPT9zg1ec2PeNra15bVzTQPIS+7rbpODRlJzbl7QllBfDiM
N8vAFFXmpgoC17kJZwMJVBLFvj1jSS2rXPamVPeHUiH0IH5k4z4ceesG36zjZdUgC2a1w717yqZ4
by59tLIYQm+6LlO8AjvhGQOfOjB7ajemNmxHvbD8aFLbS8jYeGVL+SkustMAS2YNAeGil8aO2RbF
kJltiW1I/VCTr1tnvO1gTNyHw2R/lFjW2iT1zXEyP8q494289dOgVu5kqV+HZreW1DJdOXiEUk6O
ZGIW3prV57bt3ou4eZ+T+YEGz2+0Ye9M+ZobCCXpsuEsOs324GsO62FDPS6CKNoMb7LRsxSS1hmn
jtaA5e7nTwXI3rD8BIBK8Ucz0zaTOC9TY3g2zPgtW0x9hVms3bMPCKHWLEc1V8Gsqyez6v2xT58r
3j5ARNSrtrWisl+Hqr3t5eV5CtpVmMM4r+Xa1YIQNQyokV1iQMyDauNDcr3mOd4YnH3+FC8h25+g
Rdkhx6dIN1MvCtRLlxXtibHdIVQnLuZO2WQ1rtc0sLjK8vng8CGS4ZirTuNPtn20K+2oT+WjhEY+
NaxbdDUXKKtHi98PqnPM++ESOeye1GqlBkkMwwsJx0zFnkRj5fXA2ZDnyOdUSl/KVHmp0nxPHOmh
zOx90iuXZVR8QCRYlLKToWOBy+r5sFjWFmghm4lo/lSn1hb4qO807Dkiim0METi/l3lXLxRUnV1+
zucAzieLc38Os8I3Ji3d1E61CVpFullmqV5/dyRdf9VGfR//gVj9z3degaSzkeMiiebfP955o1nJ
29nM4nNZp6qoDuaVNcypn+dDduxyDWw7Y7+wjPJdXi3vSlW3l7pO5TsbNRKdwnTTN8lRnqAsO9aj
PHUbpn4fIGRCgGJNswqTAIwtk81y4ZrOgtgrA6P1xsTG/VEPqm/Z3XYoyzdorb2HROFBtaJ6NSid
hiUZtWZWeGPttdNOqVL2XUGxUZJmo+rDdabCDsiROWX5bW8le/BJh6XN9nWvHq2qPNqt6iAOBWvU
zvFWnSLDawckToFUriNEwqQgWH4rtzf63OOoi8y9HDl8rgkJOQYd7sekme6TmDGxY7JQVGf1So+X
wqtNc/amOD0NFdyENtmlo7ExgGr7cVbvgiJ1sLM2sYtXcY2/ZWWE1RHoCXPnAjJRNh4IEthyrjUu
P+XCudauKa2v0iS7YbrOUqsYkAoVUuxpQiHZ0Jpp7eDnGNpc1J73+qzTmE4xclQLlyUX08QFarNS
hSX1Oa3ljVLBndCVZ0x2fq6ZnokSZeQ+pLXl59KxjnIto8VxpM+BYi5uRZ/Lamdy0yxXdgCwuZd1
x9gyn1Q5W8sQfFybZdycq4qXtHO60qPwSlsMxS8iFVpKhT0ZAlP/UOL8PTBTak4ZRKTdry9VBos/
lwgsFxgiqrbDfoLxxA8lAmsu8JMD7MQAybeW7OkM3F8/wo/DQ74lixBAFLaDrIZppQj++b4IAZhY
AMcPw3Nmwu4zr+I+3sbVTQMFHX+qF5sgyZLVrx8TkcUPz+vPjyqe93elT1+lXaVrknSS54LWUEX+
wC84FZ9CndojYkCIT9t4NANtNzAi9wZId3wqxtKTMYB6RbM8lZJ1xH4ke1hO15kzKm92pFt+Lif3
JupaHMPzwcr0ZzMAPadkeFu4mopy1S9WsbIrqfaVarCx58zzrp8s7a0skm6NLAI6Uxx/yrhWV1Dm
Ip878OyLRsYbeue217OF1XF6z1pD3RHMcR3BHmHNuOVQumubZm2yTXFVI9lqciQhXaBCycaiwBLc
y16dm2wlRyNyLTSSyIX8Io5RPWpg6A1nPnDRf9QtQIK2ineNLm0RGtxNS/Koy+ne6EpW8CnFWhww
dkg6kCngKXfpkhzQGvjFHKi+lskyB0zKXVZ+HEjmcOMkP9nRtCmacUVwCFewvEq7EMKdVvllkttu
tSS232TBqaptwk2srVIC2LfD6RaZJgUcIuq+w3CgaWyMFqvbSFWMw6MvX82wPjVyfqmrHHLC1Lmt
sqe/lpAXaluLdbVfKcp9MUfbKZgmtjz9uTI5I5PK2DWN/o7LrvcCIF0o0zZhpR+tMfP+4XL7p2tc
FOLfXW2jTomhQq04JcfiGnLMuj7UD+Nm2SEgPNocPd4ndXRZe5+Kl/Er4f5v8aEiP+K7j/Aflzrz
b1YHqkWazo8PTgySXaT4mE+Vb7jFUfWqdY+i8CA9Wmt5Jd9fSd7xcVihVx9e+Ud2no+yu4/XwVnD
2vwPP82PB9/XH0aTKS9tzaSNMn4SC8/yiGpCSaJzxPhHy6CpPTbD9tcv94/3rD8/xk97zKXJsfFF
bLHK+j1Ebzxffv39//I5MNBlsaJrAGV/ejeBDi3IOmoOb+m6ZsHWGNScX+9Q//mBRSv79+27VxZd
I5Ic2+71L+bwfO0f/buqiAAUDg5HUXgLbN7kb3N4wawiVO33ibrJBf8/K5oiayrwaD4JX/1m31Zi
hLArNiZa1fw6pP9XijuKuR8+dcS2MMpnFM/3NEn7/SL7+/4j7+QWhQP3oSvAGgjSiRUp5X02Kfq+
WCDYeomZEz8QMrOepKNdQBRODIqVMTEJV5GwGnXJHfapQ2pPt4M8HeeAmTXVElXOSBEH5BGaafcw
5vPZyrWdEUMTIYkIjANxR9O0px0wvYkMqnjJRjdvUYQHDNwCy5k2jaZ9aDb5LuOXnW6czh5oN3XV
pFA8FhuMRZLAMMlwtjht9DybjLPaTJ9XTjfnvtxUd7rJQFLvJZWkGKxk1SJ7MykgeoiwvCmCx8xR
/E6lYGPe6Rvx+AZW302COvcNxfrEEC32BjN+MiEnkraAxG6yvb6GmwEf9An/0Ma2qgUejLaObMJh
tDbfqnCQ6BbtbTuhQ5j1oQGrOb3NZfCWdxPMJVxEBsz0WHZiL9fTTZpOdHxhgfR7bPxmAORgh9Xn
UNaxWCkFm0ihXowGzQ96uEmBupzbdH6NKyM49EYMoNhQ0eWE5koqbOVGba3G18HbelBjLCaXk7MZ
x/SgGPXwbKNuIy+qbDqKysEjYyZe6YFVrrMZoAY5J6BM8S1T/S2Yp1V6qFm2Jz9Fg7e2manjvZNm
1oUWKrY2xUkcg+Cd5ThYFXIbH2IZizjBMB0VCrZx9ikRgA6wlegLaS3NnPAxYTQvGyafMYkcmLfy
/KZtlPo6Ev5YWzhla+GZHYR7Vv1ipMUKlxyDL/ZaCaNt3yyorZdcDt4mO5ZwJBtSvStU+YIJXFlF
9GP38swLvwlgyb9IiRN+6HbWr3KhWxi7WdBdbI+CFSe6UDcMQufQNvBKET7Qu/Oqj3gmw2OLMAK0
rONJdX9uhGYiEOoJS0bp3gtFhSW0FToiC12oLWpGBckX/QVCDHC8ISUz2oxCqDRModdY9BSCjtBw
WELNUX4RdqjxrfVV6YHmoxTqj1ToQBygvjsTogUyelQiko1eBDjSxyQUJDBf6VrRlHy5h/13Mxd3
vb+/mbs9Adt/cRfni767i8vIlwD0i9uyihXp+7s48mdaL/76Mof9dhfXCfAE/Adp/OvKVNzg/5jC
Or+JZAB0TIbxhfrwr9gOX9gS39VO4i4ubuCEPxBFpeuoG36snYZqakEuR9pVO1HnL9OwG2kDfQSS
GnLIel1q9ENNNz9aKhdjG+qfGs0+dsz5fUNQVfFm6JuuiQ7dWMpuIRcn9IeNay8MaybgPlNjtr7u
NCWWyv5tdornKA5XoH5vwDBtirnbM46+qSv2rUk9CwyV2qJHUo9Fji0hlKz7NiXIKXPyDt5pcM/R
8mgAc2b3tQCLm/IrI9SulNFcOXW5t2iUU2PRdssQNB4pL7Y3UJUT/LBS7eoDWdZNP4bGvgiDTTU3
bzY6VKddHiaEXG7KoAlgVQrPRs8LX6sCT57IMLSq6GFU+pd0AqgTpdFW7UtQC9wt3TyCwN2x+/Li
Sjuneb3PUoTmY9N81EOkuBPAQ2/JbMyMDVvisL5KjKHaT8AS1n3MBtbKS/SuEW5lKEvBuTXxNLP+
W8Bg6cuHDcHgPOjWpyXmxa2CPLqoIFDdqG3eI6RPp6TMdoYjsZBRq3kTFa191cYTCV3WyLvWg4Fq
QuTfaT6NYJGZfbMeMzecKhgwGgiyOrO3ixxqymapEsheCONZaGuhC/AcllauhSvmm7RZGuYpCY7i
JolElAHOUc2cAOeycoK/Gyi+Ms2EAOptvCY/LVjrSFlWTd6pmHu1fFVoyRH51mHpkqu0AJc1hwvS
VvsjWBLTTZA7ryRgiP6M6H6lBNa84VaWreQkomvRFWZHSEA2XcKdMSHza+Oo4GvzsCGbAPDzDUGB
9qYXUbKaIidbWQanMwyQFFtNky7keIGAWHim9WSabmzK5trGAeol82i7c0lpK4GTRkObxnuD9eUm
VKO7WW2v+14uVpiRZrfsqrcyo8aIIxOEObQzAA2sxUJFRHAs4iWKVVobbNj3Bexst6XB3s49eSMq
KmEGVIVyZXBYA9ZcArx7TBM1cFdbewQMG406ggSrjz+nOSWCnFjBaghzaSt3ybo3slUQFGw8oei6
uYOvWdO1HHATNjspGekqCYsDkZaYl0WZLsnU35hjnq7wDSgxRsLsDH0f1X1af3TF8oZzjPDbCkZX
5mTNKQa262kTc/2mNnfmPAZHU7KGjR0U+o0q9Q+xU3aSL3f9FGwidcIoFPfVp5Gfylpg9QVRkkFZ
ieqNFM93CoSQ9URJ4cmDsy9IW1qN46y4ztCjUmRbUZHXgLMqXMVFIe0lXd7GmnY/sGr10EfeEfO0
t5LierRa+JLWqTVeAks99KU5PCFReB/N7jjh8nILEiR9e+yhNEJa3zoOw4sYmz4cSvmo8mgRYqdh
0D9qwOSesmQneZQVd3Csh8XG9Bgni+12bf65xcjtwqLflcl8IYnnSGWEaVFUTUVul5s0xuI2DREl
1VxO7kDxgf8w3xUtQaZWqxnreeYtVOr8qgcHmE3Bi1z2z5XO7cGW4SlZaXOIR+V1Sk0TEQd8rKEt
w7XSK2g0NVz6erPCS02dvChwntoBGdn4SDAhWk1Jv3YmvIhlDiSK2p7/s4Ph2KfZ4FUd7slE3sIw
xpCgB+tELuurmArWTeDUu9Lk+N3UvLcBiyRjiH1iBMxnZJG5sYITcCrU7lOpW7uiN55AFwMWyJlJ
N8sbtjZYW+W05Uln60ilSM6Vxc9M6xwl3GWcEoJZMwIjo+Bku7GVapRizEYSNWbAFY+Xos+PpBKi
qoizt852mFJoZ1AyG0mvNyFxArynmN0Vfm+8RjbBgG3cf7SxdU0+SbcaynnX5Xq06i2CwPT0AgJe
4izoocHMh6jLLjlSfCWO7jIybSKz2Fo9U+0+j++ymExH1WygEraWm8/LNiDiIs48W2YQ2Tqqp6ny
e9AX+OY1W5o3ra22NhqVNPNCs7iR8UP81+h+tZTJDDL/vjYiy+p1eG9e/2JLLb7wW32E2kwE0aPw
/sM89q3LlX9zHINe1WHprBginPh/Xa4BBgFHmYOti/KFP/qjPrJ+s0UpA3qZNBmhJ/9XcrM/+8ps
jGskk5pIP1WHbvfH+qgIbQ6SwS6vZKgo24q6AVCDzcUzHnoWGuia1fY49awMAP4ieJj66yLROSKL
/K3RMbSSmLZF0GGsHK2ZvXA0NTfRIY1wOC/IbOCfRp0tgTYyF18ap/y6Dp3HyIAQRMOlediDDoQW
HBtD3+Im5ciVok09V48Bnl5IgfZpaWb01GVKll3W7cMcVG6q40e3GR+GunUyVf0+NOhWuti+wKRL
/YJtYSc3rypwUNjw4cOQG5U7kiFEaoagDA7LySysxykgXIEBxZOTlY/mNBycVDmOVnYnGfmps1kO
wNG/Lxo2MZJCHkowHqxFv8H/jZ9EelbjyQvrcI2iziJGujpWVvkEX+esRXifI2PaDBNqF66M1y5j
21hMLMYlq1vF5hK5iO0zgLoTgtmgnlfY4PvVMAx4jZL8ipk97VGoATphU4BE6jxmaGpClmUbWuR1
YtYov4aE5l0pPEldrrXA/KR21V3az+vR5karhcX1pINiYQMVq3nH4KC9NnvrPqqDcFXp85MZI+yP
R6MCwwRwNCtinPvx3PqFalHyLpcGhOZaibL9pGTv0ZLD5u/UewzTClkCcH3N0rlKBks9Z4G1ZZV6
W5/1CB4KgrTRPpgzQxIVPVZsYW4HlLiKuyVZdRih4OjbT7jEycSuMRVlZbwhjhsUcl5+Si2z9JMO
c6JaK+vMhooPn3Pu5m0MMRjUVfLWNNq7ZaiAceRwG9b6WSQKTEPNJlse8lUyZ/oDRDDCU2YW25bY
nRXwBg1zlxkKMR3RurFDtFokuKzmaVKB5YDisb/ENxdG363GQRjcx8/gSsfGM2ScCzLCt6XWYc0g
hdOlWvVqxHGOKQRXrD1J3rCw+OtsdISergSbTLbIHW2/TyOPshiXBJcu15HzWGqD5kVCmUfpV69i
J5xWqdXjwoCfz1GOlg/cKpMNI7txBjLS1ACfFsK/wjGPwdAqsCfRBGZhwucC+OjKRsO51oR2kDmW
vJaEnlAmpOAwIzEMkBpqQnPYIT60hQpR5GHt4NK2btSNWOkXJGQ6ordQXq7Kkk9KIhSNWCuuAySO
US7LfiVUjybyx6wwXzrkkG15iXW9Yq9mQ3DIg91klucJEbU7oKZ01PKz3mboGdBZ5nperay0TX1p
koigFXLM0RAi1NoIkWRLG9Ry6K1Vod9sjkmya9F0xmUNxzHgMhjy4HUWwk91rk+BkIIWaEKnSt8W
Chb6GbWoFKbvac9HRi1Krm0Upa1Tg+bOKxfjLCOTLLsjeerDETrUcOK604Q0tcSZqSPwgN+E7m0I
6+IoqZNxUhC1SnFen6eBJBeI1snKcpbAn4QKtg9AvbDQBvs7DqgTUhvFJqrZzIlvo4ar2dBDZddk
wK31gHecfBdS0ublUgaViY8G9ynGzQUouXSj1Q2qGx4JcjuGVEmoeDFzBGsYOolf1iDCGTnRlkVk
KvO9eq2+5Lp2QNd+KwfyHY7G0lfUYR8IHZq2LGjm25JdJwNEpXlKHaMdERsUZuK1fXLo+wH3Rzdo
uYqgMijwAsUtk68w0o//zUu+aNdkVhW/qAmYOv0VC0Z81beCQEFmZqAZ+IquFAfyt4IABZoQFIB8
MfSvcLY/CgLcI1DbZLarf+QufCsI0LpB1UMC95XNBrftX8jWVFFa/DwwkfHAK/jRRF7wF8nZd5uu
iSEz2TxAv9OlsubdYpa59jZEWhdckfui5TkDEEnd2oGoXfvodtZD3U2xHXFs9Ey9AxOYdFanq97p
0LEYubyVx5ReZgLr3g/lqzIvIVqq+HWp24k1OzmNTWsewG0QuxMk10lN2EmITbPKW/D3NoEr9rzQ
RzlMWsjXDpAVpMzZJVD+UdNlfmR2h76oHFex4sdBMfGOFxszg6FUTn4xLBvcGtyX5ByVS1JeFlSn
pVnuuAEabpyVZEl1uHsd0gfosJZXJ2kupon7sqe7Q26qXqtyB1RCX8o1KUuFj1ekJOCs/kCC89on
PZguCV3V/M6hbcBuQ4UhgXjGQXOaVP2xKhDq0PJUW70l1o7KCnRcBVhCKym0FgIcPGWYDtoCNkpt
lvfeDqC0DAe87RsFHFtbIdfQ2lVDDhsdL3SyDBZvM2jvHeU+4eIYzbHjLtqRSPftAnTO7cnxdiML
gQ4tA3q+Ai9ctc1pJqYyuctoLrquuFSNfMDcA8AFxHpj5JeBt7QXfYk8xU2x6QgFXttmtVeM/K0g
XB5Da3Ck7z0S1QUhnp7f3FOsNhdlYibywrI/VFetVobFBbXQXG1yhT4klFP5CRccjm0T7zZiRhro
ZkQd2H9iObEGVBh6ozB8xzi/ORKxgAszeD5M226OznoR2IA5p3ld4xwfJZqfxJ6foSzddct0UQbl
RcNrLuM5j4X53BQ2dAs/eqxO+1EY1LMItzuOSCIUIdvbwsZuyCie8bWTY7QF/CIdCRa8m4X1Hesi
KpHQvgqELd6OFhTEht9HHU1minW+Eyb6xfpQklInlat7GITNPheG+wznfSos+AZe/Ia4oKnCnN+w
IvCkMvoUpvWCJG9e1vaIpyLB1a9K7XOM57wUdv9CGP+JSGOGAAqgE1AAhfihSWAC2KHA75Semk5m
MQRIIIEoYARRuEL9amEsQNYNdYBAoW0mMAQg2vYFd383Iv6tF6iCyEw/WtgFFQyDoWUIkiEpT+fk
bKvyoRK4A8q5Q0FWnasKFELCiqQRcIQEodqmnsgh6gQ6QYWhwDb6ebHKVZ4ZOxnGgiZgC4tkUt5G
NmolSAwWRIYJl4gMoaEWqIYqcnbLVB8CAXEIoDmYzFsgYt1KprmLoD1ITnuJZPO90pdzDg0C4kHv
LQIQUQlUBFGPN8PAvAKGRNjHm0ZAJdIJbQ+fHvOlhTgRCfRE8AVCAY2CmeDB7Nr0v3b393aX0fjf
H23+e/Z/zmy//modwBd+O92039j/0bgqv5ukvzvddCb7Kv2srjnYIHU6zd9PN5HeTIQFFkg80qAa
NI7L39tdnSwiGzcUS10TeTPWhH9zuhk/nW063Af2Dni4MUfr4F5+bHa7gKSEbCnU64Lpj5zGyKIJ
Whjmr5fILwQbPx6iPBMAFGJ7TW9PMC+49h8fiMjOlGFoOl4bBp/gjoQ4fWUsPcxz8gpKlRQZCfKh
r3TllTP3xzqt7i21IdAOE4w3Eny5ShslPUA9dHzWaaTXzqBDIdUzyhubp7GtKi+3I27yYooftdlt
xQN6apVdlzKKHsXCyYhGufZtgt48jQE0E2L7UOeT57C/8AqlhXZkmEy+0wLY8bBWdaMDSc3at0Wn
XVn6o2RbJ0fvHTgm2lOkZyUSKuOWevpGyifCk4xzF6OHk0emYgQ+7xpnOI9BHrJOVO75mGdAV8kh
UMVNpB+6C0lykAz6R8du3tXQegnzGX4cxW8KIt4nmfXaaIKDCSh4bVnoapygAc/S8A41zX1phtvY
hm+TRdEBe+1bMUbpeshBoJnDzBi4nCqf3CFG0dT1a6VbXhS0mCxykyvdZkc7Z2REwoWuzfSlt5R7
cJyncsp7FxX3jVX3G4QFWxpJoFx0bPygGipoEnq9SDVupbnKgHGibLKcF6ejodMmv69ZWLe9Dmif
WaZNicb7lxA01H/YM621bBonaUBbhUmOWptCQ7HmszoSwzJT2YyRAvJLya6J9EvWSAA3S66fyGgg
oUfRN87AaxuNsG8lkzyMqnZeUCOghUlvygKLq7a0DwDrQMEQ7+ZqXXbbjv1OMdIB9bL8Sc5QbYXj
/JDFsbGZtOVKnXAwtVEykETXfFYy9bM6ZhQQk7ItM5CUhq5QTYwb9lKXHPgmtGfzaGkIN82s+LQk
1VNktZGXE8PCOZ74kNfS7dhrG5YxnqoFa8bOBM1xiaH20gHRIv2vX4ukJJVisaVu9gwT4b8iT2mM
UpLwmnarj3Xhy9a4VuxRzJibaY+hAenbrHhyQBula59BFu1iQ1kPC121i015eEgNTUzCYZZC2xJR
Mf2kxH6aoKOmLVRYKnViZmDXr1SjN0oqvduEcLg1J0zJ1cjuY0Ca0XZYuMhGGAGiSbnBFof0Gruh
uJNYhBhxytgZ4augD4zPZkLi0BRWpzCWA68F2o7tzY309lihNx+6djuO3RPBxXR8TuINiUwAZgkh
lo+sVqSIbo1DJkm7JWNpFYVRtFqmmfXiEH82R+KIkzHRcDkoNwSKbSZioFLqVG/q2QSY1RNoEXyW
u0hvyNxE0Gdar1MivywGcV5WBixwzl4y/XYYW3Yy/b4qQ7ih1ElETKgoUVm56R09prYa4aQNqrZu
lIh6a6mGjWYhWZQVtoLhoL8IBGE3laMfSA182bHa9EpxNZeQHkukZfGsPxAYb58qiWjfO6GUCG29
CbYlzoHsn26jP0k8uYtyXAhcJrNROiZBpP5egdO2xP4Eszlfj7Nnufom2E+35WmXdK70WjxWq3TH
BN4NDtRSvZ9stN13B9z1n0XeYjX8PyymuInz8I7FucOK1mAf8ePD45NAhGj2y/VgvVbBzpFJzZhe
pDJ3//3jqDLQbUSupi7LPyl0nY4zKyZh81qJj6Tb45F5d8IdQIl/eJwfT7+vz4fXkzNQkRULTfCP
z6dmYGX0CrI90zg05lVFQlCkP/76ueh/9Z59/2R+epA+kuVWTcWLtm4fMG+uhq382QYk6ZannGvM
vWlW7JXX6vb+bPuZex5O8fqhXQWrS7If3S06nyPoJTf0yzV/rx5+/fOp4sX8+U0VbBQLVhS99JcQ
9O/a24yUcJoSWblm+X4OLsgnT8pjuCdYm9GOP7v7Z2Uzeed6PW4NwnIOtGkXtpLr0f1dU/qfpsT4
5d7krmdIkhfv1Izws7p59/n//d+vBaj4uj/qSHAZ6EO4SoFlMIMQG5VvUxL5N5P3TrAvxL1BDFD+
mJLYv+lg2jBkqCZMXUXlE/C/tYnJfyBhhGUL4pJ/NyUxjT99lqCPQ+wwFSj6OtL3nwo8ZTCanDtB
frUAlST6xIWLBgQM3OTCibcekMqjlstOumBSIoPc4gbaxMAqo17aFVniO0AsC4VrDqgl5dxr2uvP
QUuABNDLaVGOIdaDJaLXTQUXM7LC53bOLoMgZkLxwcIAQ1P/QtMUXM1FIT4xF6zNjNBbfDxdwZg5
YuL3hciZX1OMZq5DJeku8KtB6sMGNdYaOM9oKq8qwfckUvZpVIBzlaA/baPufbXHOZIKLmhvloBc
cY8bE2mZi6CHkoit7IwZrQxgUQ3AKHF877O+nFrdecsAkI4z/rYkCzclaFIT0QrpXuaVAbQ0E/RS
JzLuke/7S9m9jJG5bkVbDr2sdkfHvqaSYCJUXiUgUTka15WkBAyNoKUmFmQApZEeHSQnAOWRSIBW
jRoIPguwVU1QVwt46wzJIbEit8zhaDovRMtfG8Ba9d4uz1V9kUttnQNznS3lyjKcda9NN7PYhCdJ
jHJBedUUdIKZ9MTm+ZG79hq9JOqdAWIswJO3GIQssR3EjAiqLAbo8yw4s3XaX/D0EGQnGLS1jt5A
QGk7wafVaki1dALrQLBr2UaM3twPtxGKEH4drwHZZX4H8rbnxwiIXMH5Dg1XH8uNEVMLNrbikel1
qAU5N0kkC7slNN1ScHVnbISxXR7GMfis1+wOYoHgLc0bCSi1J3Xm0RGU3l7weiNB7o2b6EYC5Qth
TD8aJTK/qU7u0ER8suWYsOT8koMBpn54CB3245zPDM55UttKUIMdKbAJZZlCzwIprAm2MKMhavA4
XVe47hbww2AsNrI+bFMVpUzRT/NKbft3dvyVr5uITGWreirBGTtKlR0jg1dbgKa8sCTtppiUFsko
5R49CD50lAmuSeTCaZmb+xpwMukPyFvlpAFngFE9xqjm532B5APkslxO2VEBwtwDY46BMpNCe0MW
QexZgtcsKZCboVpAOxY0Z2cmJAsV2EsF6NkG+KwZwC1nYzkTL/E5GCSgjcChncpGWhVsRw19ihIE
Owv2n2tw0ZMTYa8nwZgmQEAnjyaFhCAI1EkNi1pa5teQWt0jfpLmhVfUhXK17wYkJ6CsyWFnyiPo
1mxuNvGi5isKfAnarkBgD7CwCal+7QbY2NNwl2YKpa59nQp4NqBsogUFUFuDrD3bBK92sLajpVtH
82DuMRQRba90AsAzEGMoza+8r/OeseeqrAhvQTii+aqkv6tTe8pk6TQBwFnFNtAL6JWv5RJv56oz
vNLMwRlYxGrPI+KQuQHLpdbjbW7hpalbHISBGjq0AOQyjgPDxrHnCuS/f6jZxFbLEDJXHd2PnUk3
dS+/tzmXhG7mMVFl1n3V1Oc2Y/5E7fJeVSTZSOO6TViMSmqmU5Rb6tpUknUkL80xUIjKAe3r57zi
h7rgScNAHby+K571PCvXxGsW8E9tQI9Do4MaCLeBbk5M2ObX2ozLjcOtkUC+da31kkfq0AmNKwhh
BEe4uYneiLXbMclHVsvldd3KG6Kh7qqFe2Wp3Cohe78SNLiLQ/I1JGIDdNde5cn5YyzjvpH7e8lc
FA8fZA1ahX1lY3BRp23wPJjLc9MRPNrq/5+989qtHDu37qucF2CDOdzunBW28g0hqSTGxUwukk9/
xiqftqvb4Yfx3zZgGLC7pSqJ3Gt9Yc4xWVrm2g6TK8pbDriF3fXXip0tvGqer6VBibbQn0gvLBaR
IEMWF9XEKV/GwQ0H3TaqYwElu32YQvmUmd1zUyuiStY/A/TQd4aJpVLXzRhXXzqsErLrlxNAJ3Db
NREEhrVv2vRauBaiuL6ELQKYM8MCGuTpxslpXvwgQyjItipozKfBvZMtzNIXSXxwbN0RQ0u/6z5B
0HhMLMGjKbqtW5QXE04+01Oj3emp+2Vw0NMBBrckW/LRJq95pzlEx3nEVKxzLwGdZturMpCntsrv
B3pvb8w5fgnkmCfjCuT7GJfAG5Oof8Y2zEq57g51dxncCWp2T2/uRbf2ZIGBLoNka9YNy/AmeWa7
sAXHiE1H4/ifteYcTJ62GaY+21jdCN2GhT/OKJ+nFRLNXkUHcK3assUGDvmyjIKaAGrLRDpYfiEx
iM+yQBZPFycc7zkthdw2XYIgqqvn6UI1nTB+4Tl70+ySAsJyPwnZOxjtIezm4MawGqQVs4ZOp+3s
PV7uS97Evv/e29O0ndXyOa58NgaDmxLMEm0EG2oTYxOn0cFlc43vx0SfSnCuRjP8lHgVJ4Raddut
tiOH72LbrcKG6F/WhPBngo0zQYQh5nYHKmsl2J+bxMOwdOcjaRnlKhvzT0yY5PNG8dbUUxNvKILI
InJf4lEMUPewXkqysGqjJV3LnDfugKUShiGJGqu8+mACbdjhPYbhnYa845I03o1VgTBPesEEIdcf
+fVzi6MZqMb0wNzW21T1eMeSZ5v6yk1gecWmGPWM3DLGN0mOE9Oo5UuBmgvV1NWxp5WbO48iqG8n
cIUkm2R7iZShSfLbQWkb2nJkwlM9eKX9yeF62xExxWCIVwCz4b2hNbjTK2Mr7YYr22gvP/2WyM92
hdvhdEdg4QXNhOc57lm/Z9O6GaEjce6rZRLaDDS9a6HUGpXLljwpzfe5JZ4YvOjWIxFxgeL4QpH7
Ai74NHq5BxhMW9PDLR3pv3K1bAZp3oO6OfLJ3ZHfAL8EIUkFeWgJpuEMCvnBR2oCZBb4T/nsVMaL
VFoUB1FKa47MpVCpyCQgT1sz2GEjYUEWT6KHlu9nVgt2cyaZdlNJk/BXVC+xkr+4mvvYV8N5Zv6i
F8lHjkimZr7EY59OmOP73aSUNMXonoUBDcIVHISIbXScJyuscwzcTTgQ87FXupxIKXTc2X1OpRCo
S0j7jpSOR5ONuRqUtgcnI5JfYqMWjijwn7SevSb4a9cqVVCjpx+epIbxEQx5VYtyiIiDbRS07UnU
CIVqBEa5iiEokRxleahtA0I4qTnDjg+Xk/uz/eB22sFNPLF143IPiBc3W15ZCGrnIWDL+LMz/Ksd
U2kj/36uv82/iuKfezH1Rb/3Yhi1ONCZ2P9ElDLY/6UXM39TpmL+w2CdUpLB/e+9WPAbABR2TgH6
KzXS/8dM3wqY6av0Mf6LSYQSvv0XG2sQ7X9o6ZH4Q4HxacZ80/dt+6eO7tcxEbnBnjn2fnBjgnZe
QEOYKwxSagtpaXzy104s2vANIUhzh8GKnaVQ60veoZObBqemCLJlJbIPkMKHSYVamB38XttG2YO/
cVQb23lfjFa97ofgLvPlN2pSaskGtlVvbjWknlGbrCIHKCISUB8pKGbXnYY01GnQHntpeYpSeZcp
9ajbNYAj3J2nm1yTKXZYLnoUyBqC3WnL7uJizvoqUZpUqdSpPfAS2hL0nprxkSJgJfYI16vvvSDA
3ePt/oSjemaHnJMcyM/2GqAM6pQitnLKL0Awq0xpZdMA1Sybs/oGD+uG0WGxNAdjVyOxHZTWVirV
bWZpDUt3lLi6xZXUY2JbteX8LJDs+kq7K1NUvI3S85oIe2MbtTwZZJtGaX6NJvLWKTJgHzkwYp9h
VSuFMAjXV4FkGD/aNS7Km1FpiTUROhuh9MX4KfZSKY6DBPmqwRR2pZN7gh4YZXKlNMo9Mer48APG
rNOdcLJ9i+RuwabvxyTIiNSV1rkpwyc/Z3JpRdS4Zg/4yzC+O5OgLYTSsptOqVJOh0pDPfxUUytd
NVnhKS40tNYjousZ8bXQCvnC8zySfzML92wn7RLpEKLd9ADO6yqVirtBzNCuGFbW8UkzgX0Q9ans
1FWelzECny4LEA5FjrfPWzy7S2eIt4nv08sgcAjOJovRg5eVwxbKGsG1vAOwwHWgbHHoB9cQ/XKw
zCfFK69LSorBAXJNf27nq1yhzY2pBFTuFQ2sBmA6z35JUBSAPP3lr+PwbwoeJoL//jhc5/+zKhsg
kv/iSOQLfz8SGU9R8MCJsGz2On/0rhq/GQwYCbw1mV/9PC3/cSSy4bT/fiKqydXv4ynCbnUT2rwD
NgpB6H+n6oVl+ecj0Vf4KWRGtsUMje/7p1FvFAIpMgYgknb5JBVFbgAnp7GYJcegbW61WbHmWOW8
ODYxc4Gal3QeIwVf4DpqtaEgqRW3EvHhDYsY+5lPtAcJ3eeeN0zqahuDj1DUO1Z2DdGvfQlBPwBC
gL0ECd98pSHDzzr6MXIF7zEApcfOo9i4M3hED8we4+po1wDe65LxOZRIB4a0upJWBr5QS4KdoUef
Bdi+0dKPuFcupR5jLVRkP71JjQ0sIrILwf7lMtlOigNItOAR5edr2JmHzq3aYwwyUB+ifBPVdCC9
pArD0vPh4pHddYo12IzOtAnK8cst3S8mh+kKU0u/akEUBqP1UpA2eKj6nMkNGENziO9ixTXkr/kZ
FOIGCNPCtwZvqcVMxp5G5BxrUze2mREysKncd85d+C9o+UNUirMjvtycaGvMtkaZV1sqrx9eI++l
m0U7DK8+eheHoAhqplWaaO6618YbL5YWHZD5lIQ+GcKQf2zTIFPRIPe2qCTOoiLbQmraW273JpgB
LmqrI88RB/E82/Lo6xMHIxaa27HFtVl144wDg4VNcIq16hskkwPqbkjXbdrbdC2czbYKiBMJ2mpy
b4J9VU/xnZWZj7gRYA5OyKJMP17MxJm/zjoxTkTKBf1D7+bRBU1RdZh10QR4irIdF9Bapvq9gaaU
FZiPRhZxMbdQ8qRExxhren9hqSBjK/JUqV2NKyZRLHe08hb8DSm4RBBSPD94Gs5pmULq7Fnb5+7B
7gt+xTiZw3R8rpzkh2eJU6ilwAaNmtajIenO0/p3G0YPQhbrlUnCG8tfZ2FE3nYK7BIjdrozdSTL
XtmuoIsBhrI4clUcImSpMfWghWYnN/TORq+xS5+mK+iPbz0v/fXQ0z26zoRHJYucxaCln4arvcBp
Q2093udxd5oG7QEl+1vHMocVdgDAUDvWY3PRrfBxLNLjJAVPKzSfIoEmKW7Ch3D0jl3Kb6gyI3tj
VWxVMz+4FCaDYU8+YiGYF3mUp8AjWfh6if7BpPVeNuklUjkYoeKsesONNOx7a+JnEWFCz2XsQUsv
4bYcIginvSuPleZ8RFP3pJbpUeHgv3Nu4mTeWWQYVFARsCRPL07v+9s00gTJiKjMOOYqaMwa7ZQy
CYUjPKAhaV6aVhysYDhnlrlnPvPUFxjaBnjIqr7fc20lS15YrH1afo//7aOyBGaZLG8Wswt5roML
jaPFX4dd2a4x2YtNGaBhsxG9p5VI94VXLccWBqaJwU+duJxSRrnOoBiVxHIxhur0TT9Md2S/MUdD
1KXzK+BMurMm95z2wacDXxo1g/touvbZsuuU2FT8WsNUYcBWR1wTzysiIK9mUGxyL0Z2XpE821IM
Ek6e7wRabSPv0N6LDiAQ71s/R1dDtz88wagLNNcZDn64jSIKK9Ql92Q6NRgNiR6dTO/DTLxsbRS5
v7Ddaj1Z2rwQicluwJ82GZ6gppvDa1rPdK6N8VAkA1mtyBg/q1i7uOUwrOG338skeZbxcNME8U44
/vfMgnbdYUfAbKdjfqwr4mxbB4Aeqg7xLHCVRufZjJiUuEO5pnY/On7zECioZaPwlvNcvjHeI33F
Hixo//NLOIC39Ib2g56rXs59c2sn+SWGm2nBzxzhaBoKqMnw85DP5jqL7Hzdd84d/MxzH4DgcxWO
M4XL6cPn1DW89I1CdjoS8wRS9AcLmieZ5occumc6gPnMXF8ZzeaXQBFA6+lJOESpyPSW94FfAqxQ
ATOU9YoOQBfb5kAeOo6UnvV6dy0gjRpue9Ahj9r6+FiYgBFs59aFtFYFdgEngE+1gpZ6uYtowAFk
SstoUmUDNy10AKicsQztql0B/7RRIFRPtBw7bsdJBCTVUbhUmKmAU6t0PyuUqpbJffETrqowq1h7
zT1lZbJibtavS4VjzXTwVQD6DYWZQtiIwu6vquxnVaZqoX9flV3fi/859Un7PzcfCXLXf67N1Jf/
UpuRiUkhFZi6H9AR/tKuoiazsYJTGukWRji2ir/XZvD0A77m71jQX9pVkKGIuainwPb/rPb+m3b1
n5pVdoWoqskT4/uBCvzT4rAxLeSprhfdROzAWvOY2PH/Y81vu+p7/LLjJrPEpxm2HGRuBggT1bD/
2hALTtygyqfxEmXYH+M+2IymmTYbT4znESssbDqa5i2RHuna1SpCZo3Od67Yh7AT+F3gnr3GC9o9
LvL63DeaXy9FT+Tk2XU1fVzbbT9FKx0q5rxupc4yQerVLouFWDcYXrfjWM/bpkQLLA3X2DaxXa+x
dCDQcCss9IN7m3pFtAUEqK961EHbhJxfcx2hMNG2hYDLfQXOFX8jgxs2lpHgoYZrrWvrIJ9sM4Wp
z/9aG5UNrDK2hW5dKTwymMX1WN91uMObpJ4Z/RoIvsb4xaqMY4zieAFSnMstQDUy1NvBc0+ydw38
PNqlj4cnJ7MeEAhdm2w+RcXw5DLVYrVDzlCW2Ke6sdeRXZ/iGIxoFGV7owGnhpXkyJwTH6zg2ovK
rZ4wR9fDZDGX06Fx9NcqTadlnnsuG4P6pkncdBcU8akf9Q8EuZg9K1RjNklqLEeMrzgvIRgGwXoq
XVLHAw6syGbG3o2jsy2scD7ijDsODMtGke06LYm2SHCbVWIhA5sr0BzJWUjHWofcdIsorrbz3OzD
JrmPnTrfpgXq9UjL9s2sIjupDYp2RI4RiyvKz2Nscclqk+5+TgPDyKlBgKSb7maseFURWK0JEYVY
SRK1gJE+VvUZZCej2xQZXNb5S8f3GTJHqaMmuFTNo93vIF6DrAoDk0xKzmB96s418+QlseD7IRun
bZnrX7BofhhcbNsmdwUbXKHlizhzkruq8AXOezsBS5sBC/MM7RBkqbFtff0z02LcCdoF+udjF2vb
PCZ8wp+adZiBorGM0yz8u6EogM+Zq7QJ1y3rduESbI7sbevLzlzVFr94hq67Vh+ejZlbqcKSBJzi
bXaHc6l3VN9I0pxcv535poNRnFFdEjdl4MbX3s3W+NK0cV/a88kCPoL3mlFH6c8HYiD9jZNG68Zz
WFgaixjQzcCmuO/87miL7OSY020UpsYSIIMLATd4RTxPQJ0bgHYzTtxhiOLtmzreTSjyl/HcM2ed
6w2poQ/+2D7a2YAcLaNkjtmDDJW5ADGnMLzJsSuzPbusnDGp8VRp8QMGrUcY1oD95caLqm/TGw91
oB1GzJeAXtxDnQbb3IWo4nstelOj39u93d3bMj3w8x0dpGZsy9gqWHmCiqCJN6ZVkdtmj9lu1IT5
WkomUi0cHAb40xSSTxpm9yOOw8WIDXqNQqzBON3Fq1ojqyZVkX0xuJkFFF19JflYnAbK+AseC3Ix
cxD8LbBiV33CoESBRAq6Ye3Xof9B2YhnjPWT1mK9H1r3EsZVCAe9GhadHeCSiAlYY9uTH9mIUuCa
zn2nA+ywagzc0VCRbGCkRxzYV1Fl7GhlWS2Gqo022PVeXPea8uRXFOvzyhvbAntD7p5DJlHrcWZN
kbnlhx2xAXDpi/jIBTwj54GxX8bvccq20RSdmNLNyBTDu6wrP/oxWKYh7pcUpk6o6dfQ5Slb1Vvb
Z2tYH7sh7b7pA2/AOKebKIS8b8n8FSE70gXvjQwHmJhM3TAKCqS/DAy7tvAXqTed2hCzCcrXlKVv
Wps/hNuN26p2VmkxvNIsbil6KjBT/Rubp03V8JgzSZ/gPRtF++T0xbNjoGULxvQ65tOpCOSuqw0+
4DJ9juJpn0g+ouN4HkKxhTpLdFDu3nfdfOO07itQ0EuZ2kvfHp4lmwJDQs735mEz2PQhIwpjnsa6
QGs710nLysXdkoCKQiavWZ35yT5qx3gdWwVpgo57xRbHbzA30H0V3kM9JIeOlhbXvI5COD7WIRQR
LSluk2TudmUaPTtT7S0svdk5sBbVwkjrx7NV8NOL2Dv5vbeDcXhg+f0agCgI53JZ+Rm1rL/LkEKT
RSMIfM3eNV9bISrBWYzqoO7Dd73LDvyuV8nMAC4wA1rN6a6tdP6adgsMWds1jvsW6tUeDBOL2+EK
t34FJm8mIQYLi0jiW90ev0NdgtGYizfdRtdpzsmZGcu2DusHUXQz0YLlbiCqd+cHYjoZBuww04Tf
lLy5xFvqDUt90yy7TSFgOpS2LW9RnEPDbSILRFPzUugxjFTdv8FeUS5kUdfH1vDIiWeFt3Fc9xPl
ClFfeqS9yMrlfZlRZ06YdBYWdf0PwnpYC1oipgQG5i3jNvz+pT77F9rJPw6gIPgh8Uf57lKFkKFn
uFRav5YgRuagvi5C7ZKC0syesuDDdrb/f3+EqrR+UfJNvMVu1vNH6Gy1Xe+mr27G9PY//xl/koD+
348BEp7a0HId608/hmn2k5BBEt0Qd8TheDND5xgfUC395z9GCVn/WLAF5MCpUBqLbQkw8T/+KBFo
DsvLhuimF/O6hpbZmnwO68fevpWDwRykoYX5C2n1fz6W/9hKbACCFP+ig9B/7SD83yyeOXlYHrZK
/ddkAcKDqN95Urqr82+Q6vv3DsIjC9jBhQkNGp/Kz6r79+mu8xt6vICUIA/MIArc/4pphc7xD68L
Cy8+WE5ASpFn8GLyAfvj65IJiD9jF3oXLGqHqKuH4txJcyIwVgwVMVeFirzyZUv41c8crDKICa8r
f+ZjAXB/Ha32KuJ6WsUtXFxJmhZMtxWCc4o5FbRVGjkqwCD9sLC+0/MTxzVpLWzY2bmg2uwwBGhc
+eIehtWz7Esju+uASF3hC+0CORIsFIIyYSgQ6Yl2yUJiPxf1UMNL0qJXJEXxbRjGiXsb55N36xQ+
rgIbGyP4eggP5Qpdhl48uJ5mbUJGHnLdEgvQ3dQaWb1PPTO9gVAc+ZyZQQyxKyt3SUyVzTSvOcvU
PsjeuSd4dgLCUjzpc/7Q22yryrj6NBUywo17cIPEHTboHMBTfsRFSjKqZl/c3oQCMT71MfWmxWxZ
Q6SlCaYJkSIl2EgKQN9L/NsFq27Djp8x5vuUlBnedefKZvCGbQ6Xspb8IGHiQfT2F8c/gfGCX4rj
d3eeBQAXIVeNjEwCmaFueJusiPKZO0ifMSPUylMicv+hzg1zUxboNAqrY0WVmruY6rtA1bQSMtlb
MXeEw2UHKcijitOzYm2mdc4MYjpYlXkXmj2ZqlYMR8I2d2WGo8L0iQMIptHcT4Nqjnr9h14GK79v
UcWFTgiFoEUZF7xHcXl0A+/YkkS/THxWZNYcXL2QTWEQt5sx1H44wbzJ9XFfhdWFhSZFVNisqoaN
FRccB1hYfXclFgQ3QeDEEu9TxgHs3ql44ZXucBEO3s5VWwRerztuXCWSLC+dk2qMoMPbPMAvFBFz
E8UGaj8NoSzDObIXGoeCYWgVtIw6sHzpU3jgZdQdOp5g1/YbghaT7ehQ2Lt6Xa7nwt6LYboZa+fZ
aLtL0CUPKRXyMtHbJxHF97FNokGl91sjcrU98x9rMcTN/eSFDxCV7ua65yNiAHgkBBLVagLI2WjC
2z6cdxOyBcCX2mdTa/FKt6tsOznMu2YjyJeyB3IZOS0gTFjFhj3Nh7LybtKpJPnYR05Z9YW1hBbf
QQCTJ0AePwisPCQ9ms6mTc5uWsHHhFROxKOx1YOcUHgc0gYfgJVtpO9IZ+RmCrqboLFfBi3Wl0Te
DYt0Eu4y7q1vMZFDQOjdfT9Xy46CaFYRlJ43wo8vwKd32fBoyrnYaTZvJ2ECkgIs+conc2bO5r04
kokAZp39UGbYqxpzz4TEWllEAsSDBmqCxJylTkrwRtbpTRK5K1fL7kWOxjXm3ZYxwk2ZZutEBLdm
VNQbN2c1ISuJBatBFlgX7oM0lBC00b9D037TrfxTt5x9LS1GhhG6xVAzv5A5PbUqgVcI8SRo2tZm
0F+nCdVh4orXcrKPDgppB9b6hLTu4Nmje2elfuVh0dYnhG/1hyWJFzAd4hlUplfvMMjQxm49Zyxq
hvmjsczXGnj6LtBV8nbg3c79UDAIiSF6NBDVQPtQDJJEQCxQu9e9jlV2B3Kp0nNEVuW06D3GD7Dy
3tALXTtBLyxjH8BIH8pVQ+gHqOqKOMVEvwxARtbYl76GeQpWqNzOaWoOqyEsvV2WFagWNRuhdl/j
f9ZZ/gBO+8RDJpZGa1s7PZTOJRkdwqbaesTbZ8Yry6zvZcEsdPJByxgzQc1JMfKcEoKwrGmVOCkp
KGlcndFr7icRvokCirbQbLE2PTBtI6noS4ZAn65XsNAJ03ntFEQX2Na0c4km3JeVvcng0KyQfecb
32eHxHk4b1ECvjW+sykaDehVuC2Z/t/FWuKSyZUEhC9JNIWdYPqkFeh3CbW7cwuz2ni1sa8j65R6
CfAckfpbVm6EtSHyWIbDNB3ivlc4fiSfVWcdTCQ/S6eCUpKNUbGLi2J+nKXg2chJ2zhKWq2xJ1hE
sPQXTjfsLUG3aRg+ZmtnOEZ5cAiD+aglsyBCklVJmM13jQhXUexdfY050NyyNIp7hF+sEm6rPn4o
TBx26MfzTWUx0u1jrVmmVvfp1hB+wa/729HHqTkZIHjJ5kK6kMe3XYKxNES+kZXJsK2q+Qg04US6
2wrj9y05JtnaSmsdiRObO7KhL4GTfvpwlPI2ZLfpBWy8UOUTjecQpeVPa0Cp+KtmNCm6Lp+MPnsv
M+02b5JrRpQbsxndXaeN4S4au/rK8aRHQrc3nWVDVEhsviXIvpXMmUIlLHKGngyAoIfxY+jDStYN
OkWSHxix6Lt0TKOnOiaOW4avLnuZhclH18vFN4zDV8fSFk7cXaqftj8CyUPHDNZGgKYiEPkTHgNM
rSDoF6am3c16pa+0PDkbYHihWGbHHITwUs1wHG3gADOMr9FvQZqFJz+cBDOz6YAsJ1jVGXo3p3gW
U3MZC/R27iQE0XH2kgd6qFvj6OTih1b533JkE+WyjC1qDWFl+oXLddP2ZbdtvWrdVvxTWWpPeqqf
5ugoKKib3gN5k6HYST/ilsN30FDFNN4eSqV6a/wIBWhzmFvJEoiBTCJY+qVskceZ9zkJTTZspv1l
YRtY4Pe9JmnEv8wBPgh0fE2OAUQvWe3ysdtSub1Rge2TkfBkKp2F1bmH2SkFM43kxq2Rzgfy2bD4
5tVI9xamx4wF+NYS3Sfp8c8Rul8USWQR4llQRYxhceEFjEydGJHw5CMwypLHRpKlWrUIULWqvq2S
4ESGMnZhFJC9hvzcQwmF/VVsQd2x4jKZ9RoSEbDFDKQVItrA52SNPONkhdx1FUPNj+YXQDWoOxlH
JlCTLVU9NHvPig9ySr9jw0k2kfRvJiPdlvO2DchTZGw3FUzpToRdPMT5QKdu22KJ33ubpgOicfTb
5DF/WL7cuDL68N3kZJs9TIRQj3lY9Tsxfyh/TZk6XMRDc+Tj8xBNbOhZBT0ZlYdAB/Jz26z9nRXl
OxMo6NBlq9C3qrvCbZQ6vUhcmEG2Y2jPMakoJBOBaG4OmFulYIgnB3/YlPmgTXcTT6fQnURb2SE2
yWj2JIlGQXYoJQvFMWP2yPpqOwcRu8FS22heCtokQ5Oe2OWK0V2/CofyBeweyh9/qBk2RcaaQK1H
qymuyFQhdlhgGdPmGc27A6PP4CdNuk3gBPvYs98RbN2OSQCRwYPjESedWFJ3tcssY2brqH5PY8fK
dTJRF+pcbC1XGs9PPTtq8z4AqRHETKQN5O2VvRo77zJ0GAh674QwNVgUbfpuBNOqDeyTMU9UN2X1
wd0CCjZXBiP/sU0S+9ChxJ/DodjOKdL1afB39tDfgmkjxTuGXUErsaCukSs3LH40UuwsYqqXEFHn
Td26J7vO702GkEWHVtURpdxx7p4CaW29yeGyAzS66wlx4H7jD3QavIB23pLtgD+5ndFwVum2Mql2
AyN7y+oEN9NNxhwtJbxDjtbeacCPBv5w0YBNo3boboST/gBqy4zIgEs3Qe+P9AuBF5u8GC62eeOy
9dfmetU0WnQY9PI5k9G+i5PXzuseK8aWjEH0td9sR9e7Yv9dUvdeptp8SyoSuVvSbSwR7efJm/dp
n7/xF3yM1ZbQoxZcxyxHjpwKb7Yoh2cx46go6/Q4IuJaof8uoWbPZzlMcMFc46UadAy62Z2UxXtW
+bDu2o43gSGvU54SK34WEjnFzyHCXwJWpV7697vB8/sPKIz/vBJUX/XLShAzr4WD3XQw9DqMeX5x
E6IfBcz2D3717ytB8gQAT6ApxVKIxEd5/H5v6N3fsAVDYwJ4bRnk7v1XzKU/L+xo6H2bkO+fNmMd
k8mfIdWabkyt2RnRTYhbzVO3Xge1GvNKc8HY/1xxMVZjF6xmrkpP3ZmFiMgK6nesGL9sdavKwCGK
RbbL0suPY0kpMQfpuYgHfWVwKauAmEWn7mmfCxu5EWrIhD2TnVSfBm4dsmn6S9eDbjWGV9BJ0G2y
taPqgCSK39wgX2mklT01EJ7AIGbHSMhw6YVwCfhrl5ue0gIjFjxGw3ylUYN2oOoPzsF2BbDH3jCt
+Mac/mXlDp98Vbf4JQgcYt2uZRbfUde9z5Q4mtLfBqrqKR0i5DIKIUdVRD0nD4U52rDWKz98yqaY
8kkAFFk0kh+xV7VVWxm3oO+U5fBcUnylqgpLWcKtWgozJ01v9cLCqJYQuCpV9ZarOg5w1UA1LT8p
I9plbuAsyWI/38yxQ4y4nj4MlITc5tziegfuAXDcSYrg2lJACmGQ4CubTZrTlGkUmTHFZtyNx6qk
H/OYq6oR8T4y8ENFJTUq24tyUfYO10rS+ivmMvMjE4xiF5ROj6DCS5eRqnnB82MHycYfmqqHI1Db
XHF6tGpVtWxJX1tXFNCuKqRtv9pMQOnuJlVlx3UXbKZIV24eEcCUpXopVF1euhpUQg2IsbcpKdwZ
BnN/R9ie8iomDS/yuCco9FGW1nubMpzaP6SDqGcYg/QFBHF9dkFMI6J6hlx1D7nqI+ACveU0Fi6w
6nOSVVw7qutg1LJJVR+i05AkoQH0VvUoJs0KxpF45ZnDuEpVJ8Os3rnoqrtpzEkso37+7BvdorKB
PNKrbihVfVGvOqRE9Urz5J/hmTC3GN2vpkLg0gTGpZBAyq2OV5kQuZFNT0LtHhGEaWjutaA1G1SP
liAIg8Xl5buuHXOIzBK0Bz1dSHPnqS5PCpaIWVT4K131gDXNYKi6wtrO7R3y5FeWiR/Eq2091UEq
45wmNHoPduQ4NXH/0m6iL4NXIL0aDVkbuHeY6Tr7oMh/qkt1GAiNzQSgU9Jsx89jxGfezHwY8OC4
qZbGzWR11q0nxSvJDi1lDrht3ENsy5zpaYzU/A0IzHpMYBNKKrCyhK2RZSVa4F5uZW6RCAzAnbUv
bRCo6iNOlJpYEbRN3MwP7H5vGNiwgw5a9u/Fd9LVV9MCL2n6x8Fn5NGlx3nGHERSX6zFZz2FRFUS
dbKw855pSmPf6yVbMoPvu6lH4+hbzJVIn9uXHkt/wj5fJQncrbSPuqZ/u523IZZDHU32ulQOxBIr
oqlSpWrlTqxH6GywPXEsYl30x2hkeph6XfdcEEZSAguDCLWkAyuvFlCEJ7LzJFGIJrWCq+Mahkzu
O29RVjqHDi9ZdItILvL3Xa3Zb2HkmuE5heWxFRiDV30QPhtEIa6dEXS+EcJgD3lfdjZ4WcSKM2Mb
3ru1Q/7KgrfwtWeFPWfCVFi7HdagEJ8XEkiZRAwEyvDOn+ebsYAANwu8LlokbnM3ItfL4IQTFYku
TYayoY/S76jx7hoXdpUmUQmicgGaC5PZq7x7QiV/iGl4qh1KKz7FoMmbpzno40Wtz7eBnRz7bHKW
VaW/GyPneFkwaGT6aiA9WHZd2O7qXMO024Y3U6aby6kD5qFFKYNYECnZvlDldWsV7145QJBXpbdH
DZ5k6YdJTV6m48dIjV6gLQBH52xDVb5HqpD3qOj1EdxbScz8zneIpISmB3xLG/wbVrMJvrr026U7
mEVHgh/tgkffYJAQhUeKViJXTYUn8IqqNiNWDQds8WhTqCaEIQ7cEzNZd6pBmehUrEE3lkKWcmHS
xSQp9KO88U4h/U2pGp1atTy49R7q2AQ1SzPkRIwAmob2iD6J7extSd8EvrDAKo13yR8+U9VayTE/
StVsDSOWq2p+dujCqOhuJtWWmfRnlWrU+rTaJIFOp+gzjqKVo9+Llq5WGgu8bafCSqwlsk+0X/mK
xfTVCzJrYdAXEmLSbKRqFS32+6lqHoVqI4tp3DT0lbZqMPuE7S5uuX3gepzPsNQAEePvT64YSt5r
OlSz5v/DrjDQvGYWj1rHh9GovtajwRVG9JUGwc6h8S01/mlIK4yv70dFayzM+G/7tb/qSQNmyb+v
J8E6knTwo/sXFSVf93tFaVq/qRWQ4m7+DTXxS0Vpw+p0jP9l7zy247baJfpE0MIBDtK0G50Tc9AE
i6RI5Jzx9HdDtmxJtn8v3bHHEtkkG31CfVW7DN1Q9RmjyTDv9xMlMDPJ1AaMJw40jFnan3wKGlHw
gzH7+3Ow9AuZqB+nr4YqcX9BurAFA0yNdMJPA6KmhVZv5UZ/1ap7n6aq8Sav/2X6+hss7buhJXkF
FReJ5GE1NBOozE+zUVKWehTFdXGl9yDFOOkYNetOoGsZfYYqe8OMvBri6ykPTfscBIH1REZIi69t
1YBooaaDRo1RQUVpviuDgTRksjL1cDWFAkV10pfjmFx5hkLAV9mNtQOGP79tVJK4YyBWU2ndDGG9
9UaMEUE6rLOwEez95V4p+otix6+sry8KRRltUewoDHjC7YYeEgYXv6lXtpbsrKAuF2KoPqrW2hRJ
2FP9LK1NWMp2qYAzWjRGvy07Lum0pN5b9rbUa+w62ZNvqjuVfsmFLop9OWTvSe0EmKIlBvn03cMt
wDG7aBa0EVPvUVdrmJI0o1q9a2ezMZbY5qKw1NfZYKJLBvVCZned8Peept1XA/keLWwe45Q9Mxj7
t9qU+1FW2bqMCo70Q+86paW7RugZSy+vbqsQqIAl82ZFm/Qp9YlsNLV+nbAJk3Jrn5RIp1zKGjjQ
W9RqaM1HZJXI16GWL6wyv8pyebB6DG4FkG4AImW0NVUaVDiI+sshamECFBru6s4mqs7aKdKc8ROT
p7xVboyeCH6qJXccikmq2vGzglduofXFziFJfE6aXrB5x/taASCgilKyM/hHv3nT4aQ4LeJa2mtL
OZSs4Un26E2U0HglJrPcF/vKbiu36azNZBlvRYg/rR+rQ2vJN7tOA1w14Yedoj/40p5cjr53ZD0+
ZIhvrQzfw5Ipi6ijbaBR1ywoKMvZoDutfhVRRI+4ZK4G/W6XhDEjla5Zh/YcFNGBWsm66VdSUR0i
ue0VBud7+rhp7EgaUJVBNQ//bv2hKV1OPO0y87CxS4oVOjJw05zPcuyII9VMmodrMDjdY6wieYSj
+RHBIjEE/bwB6Ia1PsRgn3H9nLI0qZZ+FBZL1pV7fyxvM2kU+yDWcYpaFGPnQc/DOnzuooSnpy/B
fvf8PSxreo5NDyQbCb4uyt6l6M11V6n3sZ8g9ACkHhR6tTq/YQCgfDSK/UzhC97mOFhaumCsO3iY
7ik7MXNt1ehjvCu+wrxIT5celAJmflAByzvD76cFyUKecieJ72NVd3bGhOXC1Pu7stRIoRXvKUEf
bgE0yOfFF9GUzPVQ+bnZcB+Iezi9VRg94iOkbcPj/G0+ZM5q2IxAUI4pTqxQUW6qNnLmrCFOIddL
gd52vX1QrIFQsVPkyzrBRoQmvvT1AlCafpIwhkljcrWhU6Xgszmjy891bj0FtvEeqkO5YFnjeA4P
IE0KCpOgxNjyZe5s75sQLnz77LcSuvak31SZWEWFuMmhJPR0R9N94pqK/4BJ77m2DUbj6sHpcdxZ
9tUIHGCqmzUEmKXnjF9Qu/AtWpEb1028otJjGUM5t+qKRmTGJFxVzhbQ1KoExQOr22XM3DNmR+eM
bIVhl3IZm+ohJZC+8rT6vW6w2ZXDo1K/Gy1PYmdaa13SJbT0oLRi3PJ6YqxROyrKSu1G68GiAn1T
lpW2jHy4AoZdNMU51vWnNJcA06dyZXWZT5ldxLq1iHNZ4BeEy7Npxrxa2kAZCDSlD3FZr6umf+r7
5KEulWcCPfq12hrTFRteua6S8qXUxC6o9C+DZ19mDIKTOP7cJkMcjKGJG5aU4ipREq7TKXXuZGqP
Jz8NbkPff2Vcqyz7GH9ehdJG3JS+ai9jUCeb4DnTeBf74C4McwhJurJvu/qpFfnEnAYbrDdz+Qp+
Plpq2HuWTswa0CqJ6dZtMV0U8ul3ZsTtcxydfvYTo0NWsn70nLp1ZWOlWz7NtlsmDQiartt2oulh
l9Ddpaf5uOlxVZH3BCTtN4w8mWEYWEUdsSXNekXrwk2NERN1bxN1c0RV8d7CnCH8ZIo7sk5PlRhu
faMyd45snwBb0HngT975u7PI3/iqZifQT5su3nFo7qatwQmfY9rfm57waBaarZXtVW5DdheXyL4z
+akBj9C68fi/X+vHU8TMi8PEQjsq9jOi38L6yWBVQ1lotL7ur2wMlvFDOa4D5V9wbP/2EvO/f+fh
ghOeJH2b9FcFH8yR/GHQfZbF7f/j94D7hbRGSEqbT13fv0gd0CMZZX1/pVd3ZX4clLPS7f73S/z1
bZmjA3++xOwj++73aBiB+UIO/ZW0b9NyzW1oxSkks16i8V9eCRXzpwfgx1eaf5LvXglOjoHRk1+m
BI4iMmb92r5NUZ5XXcotbPqXMMFPBrivzwBEXoPyGopasUT9+HINt8ipakRPBvpJNESEABEFhzF9
+vr3+++uAa/4f9w1Tu/V2/uXv9405q/646bBzcDgqM19gnJ10+Kf/tCuxSeN/LFkcmQJ8/ubhm59
Qpj+AXf3vXYtVd1yIOVxeAeV+ytxFgTvHx7Ir9q1hWkRUxw8B5OOgh+fEF2BNtSUcXwhE9dUe/w1
ZNLCLpUKelRs9av064SuLaPyWlDO02op3IJ0O+x2qkdD4ixa9toiYtQXzDO/guEfC1J1UAcC9U/e
rGOYTRbPIS5tCckBkQNHhRFRmFhoBlB6pBDsTZdBgR/kWNqLRzoIFlB8KJBPMhMcioWggglhwzI9
QQUbHhCbv5BLvoGByTfQp2LrD8aaXGe+lbVzzWP/0eWVBp4pJXI4qzlF38RAjdMrRRK2aAgyzOTc
i40IBK95nlWjC/mzQjRU9rYzMeSnMbWo2L3lrCb1Oe2q3aww5XnZrZxZdSr0NFk5lUV0IvcQjMrg
qY3LBlsITiI/9mKGZCrNLkGWoITqGPB7swm2uHV9iDLkbxjYWhjmh0RJtpTTQkTFZL2phUgOapn5
N1ZjDY9mVzGrIpGwqIfQuIQMNZa+CMWZJlhuL1K7AsyAabDmjGSWFLNzRKvXQZ5iOO5SXlqLbLbQ
stnScYxOE1TQezsxwImNPTzRoqJkpm30g11UuK5SZyS2W9OGGO6lpZhi58S1Eq81fGCcUmLxKohd
uC1kW6uMolNApK/1bEYQJDyCjKQv2+ZapY5ARg5wjK+tdHoVvzPveCzr+JirCOF4WTYJOtfSMoxT
5SinWuE2E6Sha4CTGgKS21r1rCnxMepDAgQafEJ8SSs8PW8SOQko0TlLB5S7oLFipgNjqK10inlI
NRhBNJ2EoeJ4j/tVXESoOpLESzwGuzbFLsCBOWMmrdmrdPLfpqEPFx5FkZyL5wDrjCU0CPksZWW8
YaCsFoaEdTRoDdmKYFi1onFpub3n/jC4Y5MZbtjR5DSOhb7wPExsZo9RRTWQCn1o4apNa0PI/4z4
voFwVhbR1SWDYeZDBugSQDlAm4Kwc9VBPVsGgayY3O1iLGLykWpzMGHLLhsDHTJMaoD8qfbZHHDa
e2N+y62QQMfYO5zBagt8IfIaaiqFEtJh1mK9p57/hchzQugYrTEaOcoq0VVrZD3PgLYSamsxRh3T
VS6IkWV576ztOYsiJAdCtWp81zOIbyJH5jjsw4ger31WN/ndf/sHbjqgxxzw/lmrOr1wt//r9jF/
0R/bh0bk0ZoJOZiTsSXzT39sH/onFZ1o9hI7Aisf//Rt9IkBGkYu1mdA+Yg8+nejT+vTLCuB6Sdf
CG2Hf/oFoQr6/8/bh4UlgXZ1Tc4/Bd/wx+2D1iziCgrNU3oaPJQ6s7lkHDG9FiUlvVO6tktzQ7gE
0qiy7AbngYO6v1BbboOpY95FNqHuvNmlUbTi0uHVrmVhYF2Fc9U1YDixyjX12leyatcg2uO4SyLl
VUtyJP0MW01wsLwOJr6RqZivEiva1g3zmZRWl2s1gxaft+ZtH5twrPCQEuEAwJPpbhFM0MSH/G4c
lQduGfc647uFqrG6qxWzMGUkUW/vWaBZLuu3CmuzEfOR8cEhFJF2hYT9oHV1RjUeKrDXxKeugHPf
etnHWBEaDkBskCvxXa2a4y3acGkgkpYJgy2j08EU58GXsk8nt1FJSjmDvfLVBlNTHog1/WmWV+DB
GXf9kIM47P2DaEG0QZ5oBUxAPrGqoGisSwNEHa07VF3xGKjOsyIthKtEpy28XjUGN8FwwhkdTfcN
nMyuFcVZeOznRf6hqcLtqvDGATi26IAvFH66E+n4ENftQcm7D7VifKoqowUWUm9JIXUdXIe4oXgr
3pa1gswRmEuMLprraWqLvy+wL9pYjMtpLONl15C3ALexbGaeUR5hQ0/VUVnZcTzR4Ufe3VStt2D0
95kuxk3jRSq7m1hmtoa6rm/btrp4ScVEEHfZKSirsoCjbrbphoWQ4TdGsp3eVMu6Nk5sYwzjcnbF
IOvWkvL0mFtdnAw4kVuGlNnw4pvkj/ieS0D5CFOzDBVAew105UWtEFirDtewiCEF1M47xxP7hPhL
Yk3Fj6y1gQmlREdJyapb9m551po0PwjNx0NiQR2ZqnZLPpAWcxPeZdKRJ2KyvMkIzK0Tnv8ziDcG
AHKnlPUDB8Wt2moPfdeIpR/UqtvUmjjj+I6ORYaE4oNVXgUG273XYabOBvxziIweYD+hnotB164R
/pilxt3GocJu7P19CqASspT2QuekQThpDC+WruEVN+R6tNN129S9SxNwAuAuex3rfK114VNOVwJ1
rPHKByZCDG1MLlKicg3p5rtF7W8uvX+5JaocWA2DqyjQ5zlN9OMaUegDkCrFEZckvY/lF3j/fbr7
5Zeg/NLUpcoaibLNKfv7a9VY+EMdhSatV/VrG1+NxV3m/NeJ9lvgRrA7/PMetUuL9yp8Sf5mm+Lr
vm1TgqEJEGEaUwxU6K+0uG/blDA/ccAmyK791njKV33bphjC6DqGGUGFKZMWkx3sm0NH+2TOOXv6
ZJiEYOT4pVsOEZ6ftilw8dLQIAagvMyjlZ+0EIbbVTYo5Uh+vqBsUcS0uJ0Ki/aVD3WaMgM5uVEb
Pn46lv1pm5tx3DOCHyJUGlMCLNYw0tkgO7aV6KxxQQ7szVdx/WHVeaHq5ZbTfnrF0sHQdzJhKhsk
MRkW1afcND9AhKIqphoR6IwGcvzR+sqqaa/krGhxSBfGccLMtlOyBI8KXQ7wGAeTWE0U+dWZOwSZ
BvyhhBviAxiMzK2LflxXBoo9VzcsINSoLGltIa5BtOgsu3FP/Ppo5413SEMI5rHiYLtzIGExPzDp
UI9BJw0ORg6Yqlje0LFJaFuFWw6ofqXd0uohlecEhaowh2xvBe2dMAMVQRcTJWbNggT4qJyryHzr
M8TMMrfEJjeijymKPuPIBMEiO5Hueo/KsUJG4z1GZI/kQHDyaRjbtUH03viT9oy0j2OB2NC6M5PS
teoEdgz7I/F3J3MOsGjEyuxVZc8tTD0aIbDaMNCA/1eteaws69qmR/OWac+uD8Y7peBYnctMblQ7
v7ZMHOW00NAZpkoTCZ5J1RRjjpVqz0FgjJWjCFpQQ2MVGM9d4ZOGUfX40HhAVMnMKlB3F1PFAPgS
8N51GgGp0yiYS3AexnxQEipVOXvbjkIvl+2URIK40AF/bUbtTtHaJNxpXTztqy5zLiHMmhLguY1r
1eGP4F0cDKwYSGPnoxNOfNTI8gg/nW5lhxbpfv3Q/qfQ6Cho/7x6zeSRfc7w/e/O2fOXflvAvgYD
LRYqrn2/T32/LWCaIBlocowmHGhJFJc/FzDO2RzzWfBgi1B8973F0PpEU8fv3wwUjvErx2xSiz+t
XwYoEHqvKDGZa6hZOH7c34hW0Okqx+oyUjKK+q+1gjRQBpVrZ7ZBdgmleQoD6MSmUW28yTSuyxFq
1eSrN7onb+Kqfc9VHr9hCHZR1x1I94CUa48xxyalm/ZJJo52JtxJm1sH5fDKbfZIBxGTjjY9o2Kt
Pd861oGyJtJ+bUbBvTUSQB+IT3jlO/ZIkI02hsdsF4OkDhTFJ6iHCdgOHqqRbg6pXmOXObe4mTtH
PQ9WRxmLORxNe9oYlQCW698bTC8VfqNVUvWvTticPCdeN5X+GdP4pmuafeaZpCNYFGQJNiA4O2CE
nUlyjCrOrcY4Ny9P1aA9cp3aBkKcHYAKSkwJgYjOuSJWXUtIgd6sQO2eAVZeBUF7omJp2eX2Rvbt
ClbAudJQYZyPunJm9YiuJxbr/eTYLx4rNQeMRzzxO6V23M6obwJ/2ihRRHsgabWiuh1r8F/eEF7A
R27RzlwRmfdGnW6nsb5J7eY10yjesrNz4JXHzmSeMXeKVeO2ZSYykx3wqp8Noa0mz9npvryx8Jgv
bKXYNhb1yjLpT3FrUZ8wlmTq4xc9l4Dt0ZBD+gMTLgmt0hzJ0biT3wEJyZa1pdxEzrATqvcgZ83C
0Vdmhh+NkB0zASbegaeWSystT6GdzP5+QM8JdkSXof+LhSsGIsGwsSmeoXe3eNS0IliQhnwl+QQn
oKp8FTYM05pp5dV2FW0jhJNd87XCVn6ts42kmembrsrCtUMThdsN9Y7Al7rJyzYBRlLcxHlT7IkB
dMu6jEmwAjg/DcZEqIqUwiIZkH/ITnDP0KfoRhPaJtZwK6BKbCNa0IgEOTYITwiChH6mJVWDFCsU
VrlqbDVi8t/LLSZ5w63N8TaUY+nigiQvp5sxg78GKHvBkK/363ubE8AqNulxjhLO2PZYuFP00VPS
uHCUeTn33nIw7cxeLxOkOFnFZ+Ss3o175s2J9x5O8mRHzaPS83Wnqp2RFyNWhLKAG6KbPkm6/FrL
04e+bfBqzo5yjzMzbRwSpEYhX33qyqAjUrlZ1LR31NKBzT3fMYboiwMfYdFJgmRdF5RurNnvfkGj
2Kjdc/B+5+cP8AerUF9gfLh6wSU7SPXCNTLCM0UM0abDJF8klYst6tIF6d5O+wc5jB+tpe4jx97D
yw1JegHU9oMHigxWRIPKM4T6ck3IMWDFUcxTnni3WREQu0AUBPg2A14lt61eZE/Y7/grlyR8cvCG
6tBXrhX42TqKh52nQK/Btswountmwl4ukma4cNR6ncEqAxseNEfylpNFo53ZGXxlAo29YkMtNRSp
ZOKMom28XHtqSpoIWKZAVRo76PL1ojXDp9HX+eaKfAu9MnVNh32/bV4V3AdwRjhMeapLgfQjWd1u
OTo136BVl5IrNVwU3AsNoPGpKu7gNaauGo3jajB53wfPe9ITZnNe4Vk8X/qajBOJB8pfsLnEI1ow
H8uqt2t+PCKbqkZnvOfjewUuCVqMe2Za7oBemPxs3b6A6zikCIrjBKolZUIdqOeg6R4yVd03vQ0f
UIHwGSrg8lt8e3Gg3vZ+czCy4I6iCRV/gOlmVYQLVRLDNAflSNyUPu0xvofSRBtuSmwysbCr3AYB
vYBVX/sB3aVzFUVJhbkSdcFONpxAk04uMtVWNioUqcWYwUbJ6hSzZqvtMXteFxgBFhYd99dhDivw
v7PIV7VP+59nkfN79/Ll5a/3qPmrvjuG8J0oEpPkHUzO49/JfUyLiOiy+UvsDdYcMvh2j3I+ca3h
kGFyw5nVPm6/3+5RDr40uGhzDgIjGbPTX1D7uJv9fAyx6B2baRoMnnjBmazw/TXba8MCnmA4XmC5
6CNHBc0b+wXRhvth0vqFOkLJcbTsaE/JDYsfp4hEWVo0OSC4JPoC36y6sBqHR8y5MLHMkaXNVwf7
TNI6D9NU3hP1/WhhUpcKkfTQsZ6TImUHrE0Ylv20UbX0mJO9X3YAD6Hb6udeLQOSAKpcUAz5YDLB
oenD5KLllUuNpmcyV8ZTnFgP/ji9UnuTLWE1bbHf3Mdhc1U58hza3pzPZvAbD/c5pThnr2tIk83R
N6U+CDui8BFlKR1yfmforraOGbvdtXaw5krrzZnHdRYoj6QDl5TBLQhXnhPbX09zMj2zCB8hzuN4
6ym5C0tuV4k9X7sWQoovdF9c6pgIqB+WIxW8KcME6JuiqJdTOdBpELGukcBAF8qUaOUoxnM6xZi0
uVgxVlCTvUVW1y17dkKFQl5KH4EV9Z2bMHV0HXxCWMwnjG7trTkSXZ4q42G2k8dLP6zkrWO1fjMv
VzT/MBGp6+le9D28ts4mbe4aLBoBPShNR6JzBK5IYamfSNfLyRBD+TnaJnHletyoybCd+g7qbQ1K
O/L9zaDKbmlNdCx6hriXVtEtU4t+mMigqqZ2Fh0Fn5PkumzWPDiB1943WfY5TN4rj9oDykqZutQ7
yhAPQ0WqwowyOgphyAVxAQXW6k6OivM3HvUDg7PHUUKFL3D6pQY1McIo78FM3PipvBGUMfVFv2tZ
mumG8rah4emwiLwtjdj50i/1A9Uigi2+sHajQh0Q2LEHpatshmnKunc0Aq4diUuOIbbX7ybHiBdq
XpiMuTLX6RSOy2WxCTl8L1AOrjLNW+utscYuB2u9ah+mJHlMDO2DCCUEqKh84mZ6JINzP1rBM+0w
V0TQwuXQQDbKpqe6ylK+fbBFerCWxFLoe2j2Ke3WSy2anjow8CByX5oxXGHrPDhR6MI2eIbS0HBA
6okHqqTtkmqmZlT3QU1ioWjpwFCt+BCTeCgmLg+N9VwyDyRUa54qpqicQDZwbR/FqAwbdRyhBbaf
CWbfILSvLfojdRCzQ6FCwTUn7YgrmyyDmcFc786aDnor+xKjQrQdRI56DpKH/ZxfkcLNDcI3SJK2
ClbB6TkINVb9hNYxLJmsvqQg7/G+xIDliP4LCGoL4jp35kxyG3KarPXKussy/2CX6vNkB6fEGa51
TEYCXMbCKZ0voEa2qQPTzbTKHTl7HkDvLommYeVF2rsRUWsfduKOx/jJauixBe5M6615XTv6F4c2
qlWk9Fe5x2wzrQXGRV/DqufBvEvMwFnYyPYo/0OCsuPcxHSCLQIu8TuvC9QVwdB+nZnO6+A1L3FS
XnkwBZeeZXguyXlvmY6ls6oi48C2L68m3d4glwfMWrsyui0yAY0Av70fk4bP86M++a8iE/uWgvFt
6jnKqok1Dgc+tS8FzI4xsSHhxc07EIpp1VpB7FazT49SWwenJ/5VgB9M9wxsiJ6sjpOARqwJeBRY
vYLmpqLKl6pffWdO8kwt6SFP+S3DuHThucB5nRTpjr7vRkHaUhYj/5MffhdP2Wv/WX7YZePfsIrm
/fnbhi+MTyabOcICEcIfWUXChmmqziM+7B6M99Asv234iAvYRjRGQbhAfmOkftvwjU9M5CwSiRjH
cbGbv1jOMQsLfxrWSOCpDnPEeczITwEM7KcdXw+SQvid1ZzT2AzWeZ6E7pCn2HWvR62b2CNDJ0Bv
WEmiigEE3Y6RuyF48iDqamPWLyWNXMmhtNnfSL0w5DSIjPVGxSo+mGWLgzEJ9I2wMNAizMkkpEVe
8aJOcxXPybPPU2W28spqW6fKXEstOnkYDKNnBaFrMKpfrKmpGHM1oL5rYuND1XG8FyBgNlFdOMyO
1GDnDxXdfn0v78u8gMoNjrhs89hYyDjCvV323SEc4bqQesvOFkVcN8KM+1c1MwxAcVHgv3ayGtZJ
rabH0Ixz3MK5d44UxivAwwNAONTVsdPqIxYZzduBMuCmnln9WcBKditgOhAWuaINmla92CG9FElD
hn4ZQGLYBZT43Wl9SeY+yIw3zk7OpguSHpM1deFwnjfE9fQbe1KT1cANhpu+OkguvjVUoqYBYWOq
47lSq2gdU5C+loUg+l3XAOXZ+PVX3qZmW9IABCe2oB/ccQLtM56Z6SqYJqwvsdZqrzE23AMyhL8b
6cd40o1ad/HiQcQo8IZOdtpe2jZ+40+a7UpGVLcCuF+yjOiFP0mqjhZwHoPzmMa+649GeDbCut44
TsIKi3pyhiJobNMyw/Q5phVRV398I2qfHAFM1w9tmrfr2okQLNg2T7ouEgSVoI4B5DALFUNpXuO5
VtZIr/UVKZ7CJf2eHwiidoe6jvdkaqcVwEh7TcZu+Ogl10e7SP39kIc4IYzIUk6hZ6oUuNf0oOcj
NJ6mQUEuRxtbkQ+hR0LuXwxGxcFs0hxvn1SK+YBz/JHmAu2ooVRc+PG9tQKA8FTnGqCOqlIv4xTQ
eW330c4PCUzl8PBxNBfjTVDZvUswtVyNYTus/G7y1jX1Cv5/K+tvK+vs8/znlfWUZ8179T7+zXWK
r/u2uqLqYlmgLBieIYvYTyxpxyIXzj0GVfWrdPttdTVhxBGLsZhj6Qi3f9yl5qXVdixWYgvTBeOu
X7lMWV8DNt8vrVSMMBEFR4eRjxHOz5eptGAVGSE+nFMd8GZBTYebq9azhWEot9pHrTHv4+mafgfa
8cRKK+3rtvHvvWSieA0FeVmgG5XZeDKPgP7f9D6+TyH3u1TWRZuxykDBU8bAeHgHiX+r+qzF1AWu
DehXywAlYYkJ4LOSdcWraMAA617SryIZekSnIxKSlBx5frXPZtBBNBMPIB9kEBAmpSFyDBKhD8uX
EUYCFLeXyhRPwwxPgGF6ItIGTmEGKxQQFlpg04DOgC6Mqv05nDEMWSG8legN01VhNOAl/6zO0AYJ
vcGbMQ6IwtsJrkMH38EhDTPCe0CJjKE/lDMGwoj6eyBvz3aobHs4EXUFMMLSCtepYc0AkxBUd/BO
cGcJz7JFO5qpE14YfMnBUKCykaY1+7MTAmjKQ20nId9zHA7GnCvjrY+ITONdEz+XM96CH3HDvWi2
Ec63KhAYzVcYxozF8CSEnBmU0ZkOF0vYGZGnHM0ZppHPWA0vbFd9Ht0U8DbIjk5rOSM4qCTalkTY
qhnO0Wg1trBK3VQzuMOA4DHaDtVSKsTpGe4RZPp7M+M+ErgfHvyP2vAnbJLVK8pN6NaqeQzIzuQw
Q5CsOLJCESEVccEGf06hi5iRIefw77H36UeEdWoZ3EOaGUmSzHCSbMaU+BPAErMHXZLEkv1lxpmE
M9gknBEn4ww7aVKirI31YhTKjlR6s25rbenhEGHkNV73lgnSTYRLs9TfRjh2S5oabjKRRm7AO0d1
x71BKrQkJLNSLdM+lorYJXZ+KiISMenwENT1a1GyYop+9NzJBBiTRy2uuoqQaBw14FohC3JvfWxD
fHQTgscyDNJrj+A5KZ1hmwpGiOBVs8U0mj3piJ2uhUTnLPuD9+NAn+BFwj2OaWk1RAJsjQrOorO1
xZjoQIOzz4mAvCz6Uz5p3WJqsj2R7aNKVEpLAbElEGPtzn6N2CCdwAc7oCUL067v+jq8LVrlPszN
nZrl+7aS74x8d7HqXxQ1+5zVCQBV+FQQao9Srw56m5/aDidNESO1U9g4ePB0WoS9qd9COdmJSq4p
jdqWfrD3pUrPDZfcIukPfa1eqYGkVGyqXM9vnnqLdFItp3VYMX9sGcOOk7VncnFjhMUhDrutjIE0
j0naMvTRLhLCog/DLiu6tzocaQvytds6rx/Bux24cJ7aQLqBP95kaqIuYj70cRIwEwgfAdFvwPlt
UzO0d4TQN2bXU69sNTB7UXU52eL29HdYBK5TpYNNzlAhaOEPO+oTSjBhNTVJXEdrb2hFg5OLqj1Z
8ACzKX3Cerq1WrpYxsbVhglSoJ2dGMV8nmxn0yt4Ph2gTmH3nOGzqQ31Y6pB+4T4PafaewopqCOk
MylZekPqDli7DR58bedACsdB1/eQDqZVZSYHgEBHCT1+aFo6aoSDcBBcZJccPB8NK8r9U+9x3w6d
7LUDXLRQquRMgmxT5s65yoAPkNdap6UqVqEhHkLRHgchH/VYwVUV3U7zW6jbxmvB6DavfXLa/UH4
yuOgdhciGmcV1ndgzvmhsX/RaJldhoUPNadk6N7wXlQCElvrh5vSTj8Xun4anRSoYljR6xhtYuqC
GGGIB4tDTFl3C0D2LpXE19SzAoaUd+TYqC6dXqFJ304MR46ZURY71fduijQ7KbM/zoMuKSfjsyjM
DafUhdQpw44aU656pmbbeRqkaf57PIINsbJcPYxQqgUH2rWABbZWQ9BAJcI2D0Wx1AZadE1f3dZp
+1T34W2ZTcex9e+8qt7S3QqXrrcfMtqd+J2hQSWPTRl0u0FexTNBXO3QM0wKTtIBznV+6Rv/LlQn
xjlmt1WSadNM9q6qTawBYlv5Dn8acSGZmC0C2mK6VruN5yYfFZuya1PptugE7SO6eaoT9vsVRlmN
gpO+DB+MNGxY/E3roGWMQVI76dZBaS7ScmKgZ3d8OqcjMwUYxBW/EjbeLXjDjeVnzpUN1J4bdpet
JiUsF1rHhJJ7NJMYQshUU60YbkVrdhhgULYu3EKbjbY+dvBmS2sUV6UEY1neOd0+ookQHNP4kVUM
wPgUL2KKipY6/LcFDl97ZaATdZQuuOpozpMTrvsiYH63SCOTDsPUP+LTLy5ZKZqnSFgwOo2pUnDD
98Z13WeMcO0JB3KfSGJc2PcFlvcpcSehHHu92ndFeAU/dC2HaEWxyUNaejd+SRazBFVsUWGkJXa7
Qlt6glEYLS2/X1WCuBaQ/00raa3Xm+a1QwoVsf0sPf3U9SObTEhtd7duPKQEvb4rVDi1thW8sLI+
qHq19frgohrDuxfpBwgLGJOZO/IgEQNU9KdiMg5WmJ68MNGXppWCfonXSpHuu5YtuhrJepmVd4lU
mHpxftPUjAfxwe8ICR6NIdyKakI/KXap0y+MXI1dynqI+0f6tdOntw0eUzjxo5tm2V2W0DCbKvH/
sXcezXEjXdb+KxOzR0fCAxMxm/JVLEcnmg1Cokh47/Hrvyepbr0kWy19mnVvFNGtoJIFoJB57z3n
ORci7LeCrGzXUOcchdbaUG4bz10rMWWiXV6AbyEuXr9gIL4jOBKbv7OKneJJYhWj2L8cPE4Ko1kw
og2WcD7n9Eif08DdKxnVCw/dgC2xdZMn+EMEhFAt5SK8qiS9TaM9jBJmpqewKAZxXctZUpPBRh0H
FXCIT3e2X3mgFF2ph2zdetVE6iZttfvOMbD9qcOK0elcxzPA0aKchRmxb2MS3yc641nV9EnOYm4X
Myps/WSrFNEn1/XWujOdRacFoAnUm7HHkBAVd7lqiYWeIrZRuvCrV+UdVmFm4E1AT90UR8/XH8kT
t5ZhVCwNz15Hbrh1Q+GufN8jdHJ6Lkbz2BRwyXm/N3tL42Hx896EzWPT0B0LdemNlnPK1XyXGQTs
JA4SnEZcJgapbySZgdvQV3UNY9aDizerKK43wWg9mH000pgGBY+GE1y30y6UPr9jJHxZKNaDplGE
FSF91I7ji7DaVVx3yTyr+dR08jeufPWUjj/rwCZv/IrALewYhwJpP9RFXIZadUFLo1xoVj0gSEoR
3wzM78YyWxj81xgDiO3Kaz8cinUyIWGykRaMTbufKrlrm8b9oPJFixD2L6rBpZUwGkc1Do9xH8+N
yAgwpk/1vvDoOYSDfqeBM9n1RFq5dfJAUKSxkV93C/Eyc21287jq9AcnIBSpMC7Vfgj3rg69VC22
fiFuQK8SRmIKGHjt2hf5QhA+UfoCxqtRzXwzfcH0AsleJ4BFd27ILNiF8F/izuKc2Q9LuFT3o1pe
uUMpVdn2MVL9Y2pHYBKN8QJ16acycR+Mgf4C7+ELU48yeCcWCtHGeMD9uXVl7AYC3myd0d+9UEp1
lathsyhI99tESaKBU5bpLb4hk1wGNdIoI0C4ESb8Le4l1i1lqX2LgXlT8f1aVwocgfmKpdEbg6NN
k+NDb0oLhaChkoUn8KxoYQ41IE/X+IX78L0/6pWEzyKWCvWLvgOl5PuRV+wNlY5vNTyJEX3eQSgB
2uybpr/5+Wehmfemz/bnMjb+K4M8XCSRHzSynhAuVYDg4K699Pmton/DxT8N/+M/Q0VJRj/P/itr
03OOBK7+3//+wb8P9RyVEgpZLtfHa1W7IymHVpqcsp4HbeN4DCq/V9//n/8+PUeuEBfKBJDx/jL5
NuRU3SzTE5F3qXk2/1Tf/uPv/8E3+e1ev7k+H+61YcVqgGwkPIGZURj8qKvKXhjhbHhOom8dld9Z
yqbsxjxhIEBl1Pn+ozC6ExMhRvFJRBs04w3xd5DRDAK3IXXOfn7Z5K/9nx7A621/d1ukbvWNHVSo
YUqSUZKcCn0Ozsmk7moWMuuhW/18oR9cv3cLffhQmR25eet8W0hnLEkvMlixj8ituPjFsyZ/6Y8f
ykWNjtAW8p6mIZh7+6F0k+hNNt7sVEOATz53w9L0nn7+cX70OL9Z4uPjNjHYyn0sXqfM+Rx5D4by
f3icpZ0F/THWGsyb7z8CIHazMYgHPpGh6erg08Zo/vNP8IOLxDxeWNLGyahfYybw9iJlSsb53lLz
02R/7u1jC6NLNNc/X+NHN52HGA+dIeGJUp74dg1wb0U2wns+VRz8xrmDtti8RGuTI23Sf/Ek/2At
om/pCKP0ttVvCsY3TzLpxzTZGIUjleVMsgxz2CdLu5zlnLGuXj/Wv1pW6Yz4/tJdfG4+/9dz1lC0
Hj+nz//73/vPdf38I7sYP/VXw5NgYzZFnipN13BCvMt6JzxP/m9aI0jgX43IfzY84RqpUDItgbqU
reGdjNX9A92rxb8IrICUUQQpvyEgYfzEE/efVwNuY1PlF+NPFC7CIEL+/ROJAnMgycrqT2Ov1/Yy
6DzCmEBnj0wNQqQGmnfRTDEpOSMq1fiT2qoETKnCCZttMYViNnTWFO+/KQ4jLJlAJvsiy8mMzbC+
PJGNByInKSpvWjZ+FYLaHarNYKm+++IKekRINGuAPk1oG97CG6cJQlmR91LYoHgK4S2Wr020XOIe
BNiUqwaW+dYf1GWq+dW0NGyVDHcJLmYAEZMiJmJyVmlnGOZtopIkvLL1ahtqKh7KjHiETQEAcjPo
Y4uSUHeGlR8xxln6Pu7nJU1rsQmAou/QpSRfQuLfFy7ENwXv59gtlYQDZJeidkMgQ3RCin+4Y272
BeUpGWZTCvgDTxV1YOkba3MMXqxeMWZp5rxEWWJQWvvp0i74u0KJ5DG/hZxr5/1F4MPFdhiRITrB
R4flACBkpWRfhG3HM40EdCIq0K3PKvB/aENwMuAdEhunIusw9EDiqo6cz0y5vysqJTkbI/rAZFBd
hKLZc2xP5lpPdH9J7JaxrvOGkq8mTRpGJYkdZpucYwGMp3RhERYdPuuy7JeOkiPqd/TngA7wBvc3
j0WHZCgltW9JGCHqCkv5gpLR31hTQhnqItoNqurF7j0PEDGzfTuNOnillY8WttHsdZ6n9c41RbTQ
lCA68DuzjedWvpOKzbCNILnbNEdNux8vqZPMde/m6bKWocp5n1LxVsia+9aDkTxV/JqOfp9kMSP7
EpRiVRmCQC9YmhBb6WMUIBpbcCJrslfKS/g/GAz8vrm0kXDSklRLhJ4jbB4mR8BJhcvJvKMjWhtD
sRxUuwXpTfiqN2TxRk2ALZdelG7+fW0iluOlwt75z6/Nmzb5XD3/fU4kf+r7a9P+A18aA26d4FFX
mmK/u2x5o5oM5h0XfyvDcJlU+p85EVN72xa8N/98N74bFeGFkqN4Q1eZ//7Oa5NR+4fXppzCqwZe
Xv5UyTj9cEwkxxMeAEPS45SQqTKQCUcXkYI+bvhedGROVskdibfhfMy9Qygnj6YKTLjKunNa51ui
CZRZbdLpcbtywYz1ImijAzMX+EVaeC1E/LUTXYxStEM8rfQginqNTrjMrBOWD7WBxtMg7vrJetRq
494t+Y45gWtwvEMd6ypkyRhgjMo+QCiMatf2KetD+g+mkz0WY37bBcihcvie6H4sFGjNNhuyu4bx
qpeNF/RFT7oeHro42Dd5+FjnDhkVsFsr3XyCTYRRnw/GsSK01uSq7UAKPaSjGJeEs038s2M8L5Oe
MLb+dtSKauk3/cowJvrJEVpBxtN02xTnKw1IpEiJta8beGcZczTHN5dm7Fyhofta1u45NEk20Uom
VsKPmqXX90en6O5RGz0Rcf3gldqpzrMnbJIQbeMKMFbW25vaTs+osckxgqIX+Y+Jhva7SJxiQTp8
gvwsf+pV9xArdLgJR+hnxSuIwSBaA9RSNccbt6e5hezN22c+PbuQlIsx71ei6nc+xEhfM6/GqXsJ
jejZTqsbneBQ5PD3qU8mhkBm4HCTXDy7s75nMKKJiGalHJpbXX0gt+cl4fS/8BRU9wix5m0V1fhx
tTvDN6+MhoGLE8Y3hq+9tJrVbcdQ/rjZtitDb+9Tha57jtWYiShGUjIdgUVEa8tKHnIjggtRtEct
kA2K2E7mdCfNGdYxdod4JWy4yYTcrssmIPU+LrpZW3DX0gZvqsb4r5XJTjKz3ZJqAa8uLkIvLcHg
oCKoIjwNZj9d2Qlv5sxctaXBWGnyHP4lNNSioWnmTHW0SIi4lW9xBZYCD/FYcw9TrfBpa0/X5NOy
auaQzditPNFeT46+I9MIrKmWZLO69BAsJOQyku75BMj03gFECCan+CJURo1Z7s2rXvI/RLixSthX
uRJsBFrMhWLH2VyIfG2NAkFa2M5robibJuhp8XXOcxqVe2fIEeDVtNAqt4GxTDdSg0u89FOkpqUJ
MJB0Ep5GYq305gvE5GIuKtSghlRnpCAqLgwipBYD1iN/m2iMWhcYE+9o5FYdYb0yUIvLQLiW1siO
rRWa+sp6jd+yX6O4jKbgoO9WCV5CFdLeGVZdaJ3HkphDvRz8h7AlbyPhEZoZgeEdC5p4TARQgJEp
JEx/E9iuf42GRia+msMlEbw7fG+hvsTBo5szKsppMThWXW7xEYBeLkOyCZn26Em6qEeErH1ySd9h
KNci0rX7uKfFcUiyQpo0kkBdDJb9JPyWSV9sjaSJk6YhYXZebJgl8wzN9m9EYyf1g0Zf1FsE+kRk
TilSy3vE4RgYB4HFXpmhC2yLbwXav1WGwRb2z9vldfM5QwTzua3/vmXKn/xry0RaIasIOlY4ai37
HZgCTip/hSsM6NGrBO37lun8wSESAbQrbFBEUp32fcu0/5AaCEvmTiKHQ8/+O1smKrgPWyaOOYdu
F8wlAvsoNvjV39a+JIPqcQWC6NSOTHgOkVaY0ZE9NtKWTZMmZ5tXbzMnfvlowpNpJVdGAmYqSDOd
ivw4VdN9qVUPyZjvkjq7CmHTNBJSo0fewYFaA444nqPxWvs6LXsI9vtA9HcIqp7xlg1MfTRyakAa
k4M2rUAqg4WY4AABi1xoRgtIAaVQA0VnQGe/qPQuU79oHPEHQP3Jqvc7RyWqivSiHezCxl/HqgKd
R3T4f2cpkUqEDitC57XcFVs7tNN1abs7iyGQcaPDKgVpk/ZRi9jLD4x9FYX1Q9R72aKF9qABgwBl
RKpYdGFzMo/miWvW/dKuoLW6rz6uOLM7qqFXf1f66vWimfyltdKACVN2Z0tDGG+6tfNqEcMrVni5
t7ClfSySRjI55Q6ltUyrG4CTTH3KCQlwgP8s97pbDT+aUk3bBn9aBxEx6/qtQQoNcur90Jsnt2M2
6OBsqxLtaqzDz4WSX2BwU9js20MrzXA2rjhH2uOgx191rbK18M1lXnl0ZEKyXs1Spd/QqN71+Ow4
QO3xEx9T/HdtjnYCP56LRowZ5G3sdiTR2RuP/AYr6OpZmRTXCY4+OwspDsW6x+lXNWj2h558OeMu
tdFm4Ah0nXqXMDOZY+XRlpH7kqn50sBDqDNH6aWnsMCPltfMt+oz0t0HclMWNkOtAi9ihldzymmX
4lF0zemY1camxrs49fmBrJ+ZkWZH7uW8iPqVi9cxQrhc432kycou3Owik/gVSzxqZrSiOj4U7B9+
jnlS3nrfhtpYqaBZ1bWDy1KVZrMW32XL23Mso2PFoL7El9lMyq2JT5PzATUgzk1C3bc1Tk4ndHBO
l8+uUc+7LLmzcXwihLsiqHvlFeZexxFKQOFRRB06iFHd93hGO34Jco5UCBTq3sNVSqNoXgVYEnGb
KuFw0eM+zeu0lDHfz5WtXXXucFVJo6rnd+aljXc1tHpMrJ5xGE2NvhUJDtsUcTWFp5ZL7CV5CjNz
KE/CMhmI8ki1lJFJVyuQHftiUdTu19EfjmIACZvqe+Cll0PZWIuBUSXCG3uhl+VjE408frpFYgKW
ibIbV4ruoTRNDr1LWxSx403ce0tdofMXG+CGNVSY+PLp0empYc+VoBpkBBWRjYF6gLd+ZQDrx+XK
xD4auONd5J6jQlnX5EoUyKE2RRArc6Vm7gJw/9BE7ZpKdm66GOV6gPU8HdwtTcMU29bnkjiDeWbU
FxwT0UqO9UWS0vj24r1eon3XJZOtPBYawztUo08FgM6VNikLCXtccGziYjXWpZk427yJ9EWVR/os
kzgyb8KwqzDEzYXGMRHh6Qxi7R5EQMtwkHR1Lb9vKGhmo5Z2MJSnYyvNmHH41dLLCLemtvEKZOMD
iZ2zLOquyIP71LjWTuGo4ChtssIBzBEm7A9UMiOGRd4ApMEXc7fI2oVWegR7hUW5itpxn5foUwFG
n+K4vO2sFhtrMNz4lsnzrmJHk84KMp+9hEsTlOhr0bXduhDN5m6INt8wlX4/5WiLA9OK/937/xRV
sk3+895/Tj4/PVd/3/dlB//Nvi/YV6E6vcomBR2+N0Z5ZibY00BimIyY3pTK7h9UwTrUKQ3mDPM6
fuovwToqd1Vl7CVbx0AQgYD8RocR8fvHfZ/zBeGAmsQZavS9P/S8u7HvjMaw+1MDdQZnZ3yXd+MV
0QmkGbj+KVXL6IlkmQyas35DUAdeJ13xrhlavxDCueLQYswmXUFZALtfZAkCEBulR1h5Xyo/VudD
YlcUC9mV4SY+vrHcW/cdJ4I0AQdV2F9aPby2uukuoLuPqKJpZ1phzIc8SHGEFzu9AI2R2nx/dDdb
TYl2zVqLvlFJK+vbgPJgVOEJcyBGVX9oYveWeRtCqdj/GtVIrZkjk09+Cvx6A3KD9yFyGC0QYkVC
EumhRnceNERGjGUsKhxIR2kC3RhjDe66uV620RbrIe8N3MBqwEzcbYBFYYVzlu1Y6Es99tbUrIwI
9NTly27cULjw0nUXra4vW+LqZiV0OnaWcTupkTFvsoCCTEyfTPdryhGg0oYD0vMdBv/7VhDTW0Qc
hgyduIN2xI5ndeRiUGU/dyLfdqpNwxRsrCuCT76a0p9wFBRcyBoYxdOenDaRZp/60D7ahj/38+pT
rphf2na8AESHZmNaAPifEy24bb34UhuR//mmdeVwhbyQ3pySE+uQJMfKcK+sUHyJh4keMjCaGeg2
KaPsb1PNeIgYWmqFzX7YZcaqaFUS7wf7QoXOSyJRNrcm8SkE3E2XmWgV3bsthuqI6u/Cr9i76iQh
xCl4HDrlpoCpMATDFS/FFQ3L+1aJaGBEmALJnZhXBX1MWjjOUqvLF3scr0VLn7k03AO3ad9HNoKE
aOEZLwiugEjLQJt2WhV2XnNmJGspAO0eSXe1D1I9wkpRZfmjnlkPOsE4c9IqPhttz/OlIjgEJI8s
qsnZ/ZOv7MZ3boW52dBy2aLctdYI5ab5Sl4pYZGBfmNCffTDUJnh2Turom/Y78j4sXELzCocyQsl
aMn80B3mVG78KWq4SBN1MMmSNUaKVLtqrGLpFimRqmnlLusmK6gVe/+otfmnoX5Iyq3Od+4hbUib
lLTNgDoepaVBJTwGl2NfuVsvphTO7XpYA2yEndj2xrwt1Wg5yq5sqBQvaH8bl52/bHBSBV40LpuU
eM7b7tXCaHZEU8J/pn68huqOeBWRySfaJhzMsEDSYAOrhSlyAM6+cHsEvQ74Bjtz12PR46BkoLJo
+irZIdOwl2kHfKbo9Ye8M6PlJK1zScAjTVYR8LCBaGUGh3MlJCfYcYdrp8CwmSMqHILpq4aPICx9
ZxFi+RRYP9s4xQNKsb7MLCdYxBhE4cIfB4NOPcbRSTh3IUZSmOferMFainp7G2I1rZBUJVhPk7Bd
ceQgqgZTal6gGlawqRpB5h8TjKuxYV1zddU1bfVjHWErxOLqYnWtdCOb+17/hRiCT3mu36fChgmK
PTZKdCRp5TRJiecnM0D/h68zmKNkO/bSX5v1dM/iINkLrLf8X20+oAaalY35gBIHCEmpLCs9fhkx
7haR/akoqe0r4wvnXNJNU/tkYfW12lzMjDLQZ3oJdWdsfGUuPPWLGKIrB6swNw/PcEQrsont27Tr
er4hnCPN3gmW6HgWlrSm0RmdCJIC2N/wZRr56tn42OpA29YI8mYhDrcIp1uL403gfKNFtY+lFQ7o
LnJ1ImSgqZGnpYcpJZgNjclIyX/08NMpAalFuVtGq6Z1w1lRiGMm7XedNOJpqMAm3/usjOk+wKmn
SMueOoxPZLZF1yNgWLpDyHZrQsaJB4wXtl8+9cgUUI+CZMJjd0sowUVQFE/hhF3a10R6M2TVRsm0
W1smfHsFdyOxPTLAYrFwPIfXRr+104LxlNUCnWN3KJonV+sNRgQJzxqCyx5/oqDFuquEin1fJH6G
FBG9WO01tfuopXVjH/4dHrwODzQOCP98Ijo8Z1/zpzD7gYtP/uD3Q5H2h4PRhPkorV/tNWrw+6HI
gNIpM1wYLLC1uihA/hq7Crz5kKEx2FlkBxpytPDmUCRFNJyhftOzb1rvD0Rg4IUJoQh3IQwjFw68
/r4RYieN7zC9VE4qCFjQI0TRGdMzykx/xlfEmrW6wBQSrarRTxPMzkV15dJTu9TsTtHRhuaZfeUT
ckZBqI7wPmq1uiPTzB6fTMVpsGl5qfQAGGs8FPms1iD6+DX0fPglxhpwUTUbqp7A5SYcll2huKtK
1e6RjIknv0zSeakNxSoP7GQBF4Wjhg+YkRnAsNRtskbaWKseiyJSZ8joHOLZOnPXZ/Yuighi6Zm1
mgEjzLpV1q3WfiGSBkgGkDEaggRnJJLhqIwHtFMuZy5zycSiOzqZgHJcRf7SJehnXY3US1QtvGkx
SM8Awc90vslLtPETr8kKpafeL3id1+eIwGBgG03ygD1+vFbVu9Co6d8q8ZFXfbAAlHoZYR2Y6Zp6
GEWEY7wPOb0UqO1h6ziMFYyGvHinM2m2OAMqZ1Bpuwxk2MzUwwFCcS2WtVnqzF495gTOIHKuGS4F
botyIt6F4he8SNTk+rzBFFLi2iOFKh8uJyey1zQR4suhE6e8CIKNGyNFpknED8XTFK4UZZF5yEcz
AkiiqM83lSf5ZhrbH6pVw1kQrMfYJgoClNFuVnjXJsuuuygqxJIHO9tmVdetGSiFO89SnENoYMOc
Na53iIlwQLWvlq13qbbBQxIQ8hFk1me/ShlKAHUjcsV9iNXGX3pN8SLcNJ03ir9PPHwYToSUmFA+
St30JYAiU+p+cxpTJCswA2xAzE5MXyHmPNdZ26or7Z1mwhDtEIoGERx9LU3XRsAfbkUq3GByUDHG
XgOl0hY9v0CjtZwmqq7XjEOHg2WHf4rODEPqs/maesQmC80P+59Ow4rhQxEhaa1Kl2hKHrQTk1pr
VZVmeWEZoLaVPCeLsQd67kztGovso4R+NgKAKQ76etcPZBYnna+uTMNzjjHHbCV1v2pKvbei9DJv
21tP0Q91wQ4w05TiOCrhuNUsCMxgljeKCTw1BXR6IyLPWzrOc6MMF2FiX4SGvR+D3F3SjlmXw7i0
8BTxmekiZXszTR+nTrkw1XCfBuSVha3pHTKHCMLUKvRVG9DJHwefsKZkC0RmE5fcJFpou6IPKe4j
25tpsfPZb3u+gVZ4GjqGF0PmVjOl6VIod4R/W8nWbcylU1WfUxAJfU5FlGOxsUNeLemqmnBOxeVc
dDBG2exwPvVURdHWxrbr9sMcDfs4CxqTNuKQ3DqJONELvSX8xuEhdXOLBFXaCZ4zvRSlegUeaysb
ZnqaLnGW6RhkhwtTieeIQz4Hlr6GGrWEOEECi+mc6zi7cnLtq8vZirIH35Q7XhkKTqe0LA5jOeHd
pKHGPU6jFueF2sx82hzdhMeGBLcn5vM3vXwe1TjaVm1wxhV1SglNsrG2eEO+sVMMYj7LJ6a4TLOB
8OFxrk3jNvPQKGMeCCZlTZrMBpPGPC04q9fDSjHFwJsofLKcdp7QtFRal0OVvQTHgRNHAK9ihqQ2
9Pyi1j9rDSHunb8ZhLNIc2VPfYf3P/xctsiq4gGdcvqC8mfuVeqCcnvuNSAzkufca68GhsGRIzh/
Izzus3uztBf1hCHQYA1guYZHxjIBF3VjrQwmoaY/XBmDK3EJ2oJo6RrZg1inBgNJD1kzAThM1cTK
cRFFl+GRN9yKfNd5HSDLdwZO2XWw1VXkLVN1L9RmN5nOtWUV904AeoOytE2/ZmPxXAoCTlCH4DII
V5AjOaSMi9g3lgGpMb4eXOpAIfNOv9I8cmtxF2qVoCtmz3ATbBS32zi1shJBch3hQGyAiTDNIhEA
l7eFDN9TcACLdsVX8Vi7zkrV653uYQMayqWPxQp0S73ISw96mqE99W1+zz9FoC1GybE2ijnfJKiT
QT/Hq/65zmoQxMoFOMrtpNjLHEbHrEM8F4CCnAUFh2ZCbEEJW/aaGe9d2maPTclgGnYIdlIEL4Y3
z5tqkznmlhZkPptMd40H/L6vxF1eRVdg6MhnHMhub7l27tLPmo3dmDyd9rozu8ssTy4KwG2d0l4n
ob1xBu/EpHebGbgiPPUQ5DRms5ZknmQ8Q6vc8gUjTcq5jCp3r6vDQ2FJNQBEZs3FL1hBuqjqU1ab
V+3gi5mj1tct/N2ugIBfQaHKzGSfmD7mkVLQ2fcPlXxRTfn9GDcXWmWuC2D1LWxqOUive3noyQhg
zG6rYtypWn6haOR+kwTvfUHAlVzXCFrmk9ZwMhWzqQfU02DpUKKv5JjeRk1KRiLuRArv5sEw2dQl
+iz3aUCoXy3meFlT3sdVsBWaeuJ9i3CoisGH1xfmFPK9TOyYQkl9CMy6WLl6fJNWDfr7IV7HunqO
YtrfMUxUMPb6Ch3cxoutea8pmLooSLqacoB6dK6OGtaCaGkG2XnwLTybw27Ixq+FUiwVfJQNc3Rs
7gXfgJr02s5etq2/rAIlmxMaS6O0ZWzEJjG42aZDVtB14F5CsQaTsCKuagnFmfdPTe6FP0yrIc0u
KHouqsa8IRWZnR3oXFbj/AipToNe2WUaExJBIiXznUrNt4nSHCalf6ir4ql1UDNENXz/ZDh0BnLk
VLD9vTnS/kC7/UGK+npCpHqTUhXmeCii3p8QKXirCoCmcsKBEUbxLI+vFKIuf77IB6Xzn4tYUhaM
rJr20/tFSJemZW+oymlwvlTE3LYPQ/7i64sUHdrPV/rRgZdu4/eVPkjFcw9X9eSxkkZsoQFNz6bw
nra59SlqH8Pc+tYr/ke5+A+vHt8m4ksM2Xj88ME0UnsdL8n9c6c8Nu1F6T9lydPvfyJOyxyWWUYH
A/r+2mFeo2dFbMSZbL2oX7fw6RJs2am/DoE6aM0vQqp+8IkQC1O0MNc1aMp+qBhk0rM2iiY8h5mP
rwthm78u4l98pg8Kbvk8vFtE/v0bvXDtKY1peSyCWWTWVPvIDX6h4//Vx5B//2YFCFNwq9DXnkm2
ZjY0j/Mbj5Tsn9+a92Pm1+rq3cf4cGuKeETWktbheVD0WWAymzgbIe1D+4EuqVWftLb+xYo/+ljo
xgXiRKJLUfq+/1hx6KRhFqnh2S4vS+HPC5IwvZeff6ofrYEe2DIsnecAEPf7NTxTVyynq6IzkCyG
TXTI8nmf3P58kR9dOvgLDATgINgMBt4vkveBbYfhEHF/HjJs7FSK8AkZO15H7YWBnrL3Ln++onym
/qM+/naz3q744WYFEKWrQh2jsxgUQuPvdA5QP19BfX/lpEbaVG1U1JpLJ4Dv64eXT50biHUHNT1H
ezIrtmyeh3yOyOwyuDLnJHGuSNZb/XzN90v+/VN9WBLwTjqgP43OnVVTJoczDfyllm9+vsqPrx3i
DCGD6yzzw92yJoY3TSqis1cyOiQ03Gl+ce3k1f94dwzcFg4dERf4xocHu6g1kmNr4mlsSt/R0Tht
PoYGrNEo+sVn+dEVe7vShxccFXFeqbYVnVXzOXAuTe+6nH7xevvxEghcpGUMa9qHRy2kee4Ykx+f
s+xkYk0c0D9qrfWLre5HXyEetu+rfLj1qMCCBmpXfA7jp0TZeDoNWegBcTuPm7MSrxPzF/fobx8L
3T6KVyxkbEX4Yz4cFQDj2EVq58m56dZl9dhb6DqufvNB+7DEhwFeRgirbgVlcu6nbKYqPslJ5i8u
29+e5dcl8CbhbQAP/NE9FA0DQ2kqrXOdPCnTlvb3Lxb426PMArjhQO+aNN40Ux5R3mw9vDptkLhT
euacl7bmPIi2snOeuc+v1+pfjRqC6Z90ZaG6442Zo+v+/PdhtfzR731ZmKnES8j31V8BE9/7shp/
pdF0xRkFSk3q1/7SdUt0OzufAKL2Vy7fX31Z6w88bbqG61ToGEJ/zw7D4PvdKw/lOiI1GG+Yb0yT
1eQv8fY5sVVfTZLKzDmqVgxlZBYDABTowwMYSG3wVQIU4lWi02JIM4185ix4SF17l3ZsJG6zzpP8
aLflNjKV06R4S2GklL6kdO0pHgGfh9WnURj3jlswW6iRzjhKs+zG+Oabr76ZoJD4MQVTZF8OPgxC
ikLZ7cOrjdXYkWFkKqlkk4wncyeCygJahvMYVfcsEw0EEErYKQLIovq4pgEXTR76dPTr+aaVMWgK
aTkDc2WwCkBFmVCYi0DGpnWduO1kjhrzu14jWK1xjXhuvYatkboGTSeYFzKIrZSRbBhBXoHSaNqy
6MkNAX6PMsKtTalSElLdpszwtokMemMrXOYZQmchlSGm1IjA/UFfJHUjBgKSUCpJyIFGmORHJ3Bd
c5kdN+sneF5We1OFpTUnQvvWsv0TLSgIajrcloEhni7VK5S+7SKTipbeEHQD6B7P4rI90KLmgDnm
eDs6ZV1U5s5EGoMh5cqNaD16Pe+wqVc3ttTRjAhqOoQ1fjYdJ6m0wcutz+g03ieIcLw2R42DLAdN
YkRhiFLH54WuSO1OLlU8tdTzFFLZk2jWFrnuZSw1P7pU/2iTvyylHqhX8qdSKoSApQPpJA0b6VAO
vy5FSqQm7YUutUUpIqOy45nxpOwotOhNSyWS6Ag7NBAn1Zk/rxErlaV+sM0AHL9LJFUpFU2xmi1i
JE5VpJxjqXmaiD6cmVIH1TrWlWZpB7dIJO6kG+aGVE1pr/opqaRKpKYqigW+SmRWtV/fDFJ3Rfz1
wTe8x1EqshLFYY6ARstsxCcD0Vak089ScfuOUs/lIOzCK7VXEXpNCL5KhF+VVIClUgvm1dYWmbJK
uK+5b9r6FOZEIaNEtpPpeRzIsLKhjbtx8QkZVkkLkCZSCL89a+NiFzXuQx6Lq8asvjokWlU454vJ
X/n4s4q6JyJTWVVCu8iT4Bjm+W6I6iN9m3OXQTYp66BdJ15LiphnvkyW0tLX63VjHbae3c2MrJuu
NWs6wN6oGcQzF/AxHTDKsFgXq1ZSrXt7qpd0njb9pJ8r86FWcGClrXuboVtIIloJUjVOgxh+uD7z
UYq3E8KsDtz4aLaXvOxmFThYjR45oFvOg17pnXVoRtSW+Sx2mou8Da9s1Z57o389oWUAfdJSvTDd
pfnW8EVJ7Wzt+qrOUIg8GD221okf+psyUeSsJ3DojCWEoLQ8OcC80IKp9DAIiz47g3JvG9lLXomv
qaMhwMmTT1Pm78lM1+EyQKQydahFovJs+qrFF6dVvL0bB4dwYNg9CnFOc7rnrV2qp15PnvWJ4Hv8
2M9tjSYntYYrvR+LrZ51j2qerkpD3I+hjbmrXLkyUp4REIEsRm2sh9a/ywa3XZDksyqcETI79ISi
Orsh8ZpWtJpqoMRmCcgRNOwCruMmB3C2Yxpz65CAwMrdXHeNGxUD0jow0WBMpVosi+H/sXcey3Ej
bRZ9lYnZQwFvFrMpoHwVi06kyA2CkkgkvLdPPyepX91Su4iemKV2HVKTFEkg8zP3nptM61rRzxOv
wbVTerfW3O6mzEQYkA2kyYBE0OXGinRpnQmq5D+iyexS4GQezDRRI0voZvQB+L7XmssUxPsSV85t
2xm3KT8T7gGQPhHJnV3mXmOWYPqJSiQcZHR7KNVHyxj745BsRV3DsEkyj7W68jXm07kuO3JLDvSs
6Eokerqy+3g4mopWrPmFzjvC6G6ngmFTXokgKmMtALe0gw7h8to20X6CBBYqyBMAK3uu7feZ86y2
SwxEDtzEBGQ+YnypiPpOj5EKgdAlfsPuYVFLPU3Ufkl1AbG6ZbFmOQvLuJrAH6BBul4xeZxORCIl
vmLU274A5JZWV2NJA1tpI1y26VadyzUMu3ljwespa2+naMp4L5a534y9/pp6VNItoT85Me3rJVuM
b+Xtr3pKp8X5hy13yZL7z5WU/KDvldS7sdhlzIW0T5UWuZ9lf5aj08Kj/JOL7N8qKYzFdHKmhwGd
pu5HluK75Ri5P2xZyh+KqX9lkJMl3g+tI3WUiS0O74AGkpQ8Hlf/uY6qy9pEM5OIawRulrur3+27
lnPR8IVSRUTv3t70m9G3r7BfBu27A5i3sGs27rszeHx3CYNp3eGFNcIXpNCJuh6Jt1KOfNNteNBY
NmrraCHd5tpMixgxfG0KDhENujhP5mItWexnrUfJgXrcMSJ/mG27Y4COjnFeQTTilUioMcTOGXt6
g4zCbWVMCO/BvTVe4hcyd8Gux6y5RGbWM3oz5tFZR65aYqCFoKMueAZeLXL7tr9aiW/uUHrYv3/0
nyiR//zky+nG9ydfxj+pdLtU51gvzZ+efP0DmGXsn/hWVEalPHbfewj3g4f6lEkJeE8uCAn3/N5D
EBqlEeLkgsdw+Z+Qyf4Lwav+Tob5fWzCs89YGCKVYfOCSXP/H579rhmxe+vJdKk6NnaVS1UdNved
jpIr0XEcLlpR3gNBzzCJ5fld24fIj1St3/UMyXl0WVMgYu14lI0rwzHVNXa0yZ+dhLvXJnmYWeRR
1MNnrx+r+3KWctE6m6491q5+nheO7/VheW+2w5m1kwPQyguGWJSXPEKEyOsT3WrQYbY9JwcU3FAL
Wk37mC9atsvgVsGVMra4SfbG7N5Hdd9sJjPRA1wtoHCIovTRNT0raKJ2nuTJLXr8sTbxSAh9Ljbd
4lEYpwUsaH4El1hzww3QKg+8ZmldohENbJd7+W6sHHz+keHtqmJh6xs5n8q2wvPGnp9tWn7q63mb
esrTiLQY9Unve2TZ+ZaoDmpvrlMnQgARDYe0UY5D6aIF1c5lCZmYyEAkI3afI9AVz9ZgAuH08P7A
q4pgVTZWkbEUjEb8DfFdZ7JOMjLFXhkFxZcdRbt0GeqdYuevRoQUYyrsg91Qs3dLgavWStCkoazf
iHBU2dQtT/yiASjb1V2phFdmNn92l3gHuLXiOzG+hnN7rbTFcEpddtFNJ3Gpo3tlLCxzl3C5skp+
pV0F9Goer9Pc+IxLBr9J+kUJKwS/QhwAbl1IluDwqliOa1ISoYz6nsRHy8/6CXN95F2IuSf3IzfZ
btuncsopBh0jXFmaeKqi5QZ9+DGp2ZsqsBxX1MTES4QSL+rWqXsxkMUYn1VU1vPewfO6JiLoSJe4
gLjTmijIrKZdCcd6VYA/x71rMgGaN8SykyOBjPaM2fkw0NauHJKN0H1oJ24dUqJI4MaqrFHSWG68
nS30OzU2FmpG/baxLLb8LjGAZpTSFFXmirztmTwmupwy8Tb4n/Gpgpdd4YwL98rc1n5koWwYecEJ
2812RlTdZkVB4xqb+8ll98ztoN4XIiTvyzR3WllMqwZt6gqBex7o4egvJgHkxhy+zrO+ixUWwqll
3Tdd+KwXRec7pM06jneFgIfoQuT2xGr1hKNk9h4lgXlxupkMBDKp/EqL7c3UmHdDWpbs+60T/goc
FdSqvqpYhybr44M2l0dSM7R9Xcb8ljrPz4xPrRZelDHajNTQG1zQ265uWDp6ebNtWVusolkEbp19
FpkFMLPiVec1qSpnkoKaZ1IHDpMzVvtUcdwgizXtQiqzgf1XEbcEmZDdayKOYPl1NdRKuUo8e63P
yDSzAk+QQcNNtzzdzBob6pma91DPi7vqdT3cqXUHHoxZ+XaOQi9QCcbdV3VxjISKLiLqjUNrR8uh
TjRla5a1ui7r6sZWvGazpPNBUaNPlZIb13oSoyhJinSvQPn2iQY5KKypoykK13ZSPdUIN97agkZP
8BrfOEnyuqDPAs3hER78beT3q3SUzsq/vz9lwOL5hdiJP1+i8gN/u0T1D8zh2FyyUcSNicnjd9eI
TnoRhZtFMQirSKWy/H6JOsBncHIgXLRZF1JC/n6J4hZldsvdC94bVCGGkn9xif48D36/Qj0d8SYH
GWs1XZXl5Q/j2rYf+zq35/GiltcNypQZIf4PP5S/WLHzL/2hQJU7GnapGGYsvkNpgfnDQBgsTWr0
hBhcWjM5xM6DopJGfoPnTwuvx+GKeKB//nrvVfc/fkX5L/rhe5J81phLtgeOh8kU7SE5PyQ/k2Na
RmV7Mzalexg6q7qyUxTnrb2xk7le1+EUWkjqO2edMO94ppvW97bs2HmFzUBrS3TcrjhZtPWEdad+
RaM/KOkbXJ9PcuBdykmAAxmAFKBGWhKYExhyYtDI2UEupwgm44RWzhUswBubqIrLbThPhR/L+YMj
JxHFwi4whEyhjK5fMaxwiaykJylXTjycFMYZDO8YgYSYEWpGHebM6MAeb0IY5thijV1ZatcDwxGq
qX2h9vEqZWxCnDzltPKxkfOUoXgeGK9MjFkGOW/RunYbM4AxK/cg5ERG2AAYlIopDW68c0nlfud0
KmK4hna/uCtrYe/smtxsELS7Gq53d7NUJn/Q581UXrLIPHVI0a+KfLF2ZtstQd4b9WeCh0+2PZ7x
Cp4qJ95P6XhuvBDScHo1L/ajlnm46BXFgzzK+AXdGP3Y1ww6znq0zPNUmUADjGBIq1NHmDtWmP1s
xNcq7h7Mr0E8zadxnk708mXQLbnKRTYe20F9REC2Nk2yZ/Ni+WhlE9ES+YxwtS+ui7TbwpG9Spf0
oJaps5pwlqJzYQ1XT4x62yFFwg/Uq02cj3U3s6flDN7oeUUKVj92zLv09kYmfJxwSyOGcXUci2QW
jhdTuLdtD+NWEwhfhWg2GnzXMIuv+0K5GwcMDwq/lnJidEGIhJN3X8kaXlaandzoEA28Pu8ZTBFa
odsB8NSbri/FSg5u7NHcjs2wUQE5dTYuLU0NyrK8YxZ8nYd17Y9TOzBBSYfbaRa3dqjtMVgFbuV+
onfzJ8ym8GoVw6eaeCvwThG6syV+DKMUNiXgVZBuh1d1jI4FZOfa1KgHHQ8aOFNmWCVrWxlJE4qu
GY2fTSvZ1Va+nVRrnTmF308hsRQIbCGUtmBIrFa5YueJQVPZc1DczG5E+GNMeWWY4ab2jAezaTGL
ATas02KUqqx5l45UBk3G7CqOsIvPyiFtl3vKVuTKWUc0ZHmXDGpAHimPdZgAJHH1F69PXmCen8s6
w0qeQCQd22ZehS1MFysc3G+L1F+Xns4V8feXHuETf3HfyY/5ft9pzgc0Tmz+LF2aHuVM5PviiUmK
DRVBRd8GV43l7e/3nbRCGjpohN/DgL43jTLxhz0ij/n/4b4zPC7VH24H7iGy1dEncBiTIcSdJ//+
h9uhXdiB91ZvX0HMB38N+ahC/umK2gyUiayShY6h14eVotsiC9wudEoU7TlW5T5O3hW8anZ2+1jF
8axHfA32BMDITPSYvZmga+wKnfJ34RlmuI3fOXoc+1yBO6hGJhdB6ihetW8xqbPUGix7uukTB447
jM9ow6sJBR4+kM7R7WOc2HWFQzHfDnSpgzqsWDIQNxYp7Sbs1fuk0M9NYWfrkriBcFZvi5kGQdOk
nymsjlWZH4s6PIHWfZhbgi6BoIX4fPJtX+2zPEK+GYFri+0k9lOHyJ2MqhcyOFK9PmQjNkwLln8P
TxyxZzSRjL3bdFVNEtjoEZk+5u6hQT6oy8VW3A+fOmTkNE8Z0euQq/NyvoYZNG9GGyav3dOxkgDW
QXFepiDtkGuqc0F4DWS3FUCLtWr1c4CXiQPMHb4q5nTMGOLD7AlZ14Ta12mqSr+32k2i1oTZIcgl
/JxMNr3y46Z56K0595N6PLU9S6MhHsDkl8adYqqb2un1TZiSTKbkgJ1IJdojVoGWbJZXiV7egmEj
vgwGD2x6MREMNEhgJEm6c599NjHIrRoxBJ2BxSJLg0yYRFlU0cEM83VTufZKEmDlDjNZNVmZbtzZ
UfDVd+ec/McNntLkpM7LVouix74gCCgl+3BrcHkFih1xEbPTML3Ox9l3GMBTrGq1eYxK1P1Lah3n
WbvromlNZBAu10kjLC+5jeh1Id4EqRP3K9teiDS25mxVmUq4a9JQ+OrkXbOLdGgGjdcy09qdVpWt
bxUlKcskyQsj3xRG+pH9Mbu6Gi5mfVEwa2EbS3XilhnIuVmySTJCe+mBJOauV40ntYKU4CTWdhiz
uym19kVUg4+X0nHhogGb22TgQdfFsaqQaRvegtlxHB8LhqhBonePUzg+aGbL0ITYPLiC20J4l6S1
8ObjXLC6z5ODYLkt0M/2TkpAQEqUnksShtH1d5DIkWgmGr3rHO2j1mQv09W3vb08IXx/JiGJOMF4
TjDVxfU6GUzNN9X+4xAjC9dSMw5KWxwUpTyojvdSLIwK1KjWfb3U7pCbkSVh3mPz3SpGeQ30aES5
YtxJYnHgCjVnWKlcQRQ5x06l+EZKZHCcYYNhwFNo8wtAqmmXztGuHxpzpQjX8wvmMwj4SRLsuoIJ
hgzglWGK2bS4R0+d3cDT0M6qS3NiBbPJR/IGQj2jP/T4B3PLErs1XzTNROZOGVo2kA8cB89oKA5N
bmRrW5te09i7JbvGgSdQheiEIUC1y/w2DjnMxAFnNg5o02d6RjnZdto2c0ZaaWJy7TDl0VENOA8a
PWxZxTMS+9JibyV2aTS92KIr1p1dFGsmO+feqs9wWF5TzAgBRYuJaWjmgeqczaKob81oHtmp7Oal
fCqciJhOUe8dIyV5Z9KOalMPGxZkAyZvG+W9bu4jII0rkDEs0PXkrKX5gTypLQEMR+Z8aLrDY54l
e9HVd6Go37oJRHAxNidgaBdbqe4rZt5UBiS4qOirjx7nImcjm3HIiWun7MdtkpaPBYA03xlxJ2Yt
c5pwbNZjxFQ6HsYHr8Wg3pdwHocCo0gRp08Tpnhex4kwMQYSUA9L35t06OmzeNTH17GZ2XFZSbwu
ZhNyW/40zfxENQ/B+tjp63AoH5oECpnRKg9wBF5FBBJsTh304Aaq+LbEzGgC21DfBo2HoSrs+4rE
hdVoakZgZdThGnkkmxpa1ZCkUM1DbaVEI5CnbLjC/EHquo1XTFyW3ETrZLK5igYFg3vmnBz6sEC4
6p50NxwpoTvtzdG606vwk3C8Zdtk8WvOnpyhDYArEmWLXZsOH42iXHxEtuCnpvf8uPfi4FeVJOOJ
/75KujQvRYSg6RvDdv/1f/5b++a45KN+qJP4ter8ucOAHTfuD3WS+wHYoUVTboNTeh8ZfJ8LGB8Q
Q9vUMDguma//OBcwJJVK8m35tNb7SP5fzAUAUP2hTpL5inx+jwUA2y3N/cNkoLa1OR4hm9GjaWJt
LFnqMTL3wqMy1eqxcGiNVoo6989mIg5xOD+5EUn0lZN8MQZLI7jAgg9ICZUP69qAZaNWNbzPJE4i
n8qqfIBORzw5ztE2klFMLOyT2CaPvjKaF0Ll49euV8NmoxcWabwQQ/2CVIuCrJ6NoBAj5D5r2Xdj
uh42kAOwTnHp0jqmnH9hT5Y4OhIbt5/Fjn8Clqq4EZmBKYeOFYeEyOgkqLqAWmx5tSkGs1Bsa8RW
zPAdRcMWmdSVaimPxO6cl2W80YzlJAbAEIZyYrO/1yKxn+Jw8S0b/RJZI5ZftgOkl9YUp8q0t2ql
XCd4pW+r0D12lUAEFJHBHJEqcCrasvF1ZUzXsw0FuAFTGzh1f5m69qKkE+6yCMbqTJIJAanjWlBm
euSydgqVjjE3b6nR3cWZeqfaWm6RdtAV10oN6sswuUbqismCLT6B+vCdzkUREuYYKDLcnaV4c9oo
8fWKyA29ZCaJSMCbjfxOsa0RqQA6FqfGE9U0+Zb7iq0BNtmJygaAjmMHulaIyxCNZAlXCZ0ZtVg3
KeWtjS3bs7HJqHTIhtejGtGh+sTKWVuMzWADtZn7yvzYksFIfiuGREJdN5i3EcRUuT8R67RaKqd6
ssKe4bameACPCz1q/XYm0u2HV/EvBlIstH5oAADP88KxnbJdshqRyNl/EHImqhjV1GuTK10V1cbI
Rv1FzPycxjmFDf/r/Hs/yaRw9O/Pv+usz1/aP59/8qO+n39Q9GTAKpvwd/bNH3jdbM6lPBAjxvuG
/Ptc1FQ/IFkko8AkVPA/p+b3PhFaLfA8Etp1bH34ef5VRiF62J8eEzmvhNPHAQxNB2sgOYX8/Q99
oimigl34rF0sLvd0Fw/wmms2OeckzIBxMvURyyPvFiyILtuyHnpUJAU1FxQaZbT15G4qBk+B6Ynj
s2wgkpZbz1SPPfgrO5/2Blulpd9ZifJURhHAEAgY0UWDR3Yu49b1WRR5gaOR7JG2NryoeflKtDka
up4cbty1T4C8mR0ZSseGo3sCqbYbyaQODGu4JhTbWNeFEvP36nEZKDJ0wzibvA4IjBhgKv2ME1x9
jav2bVz0r64CJazsU+E3+nSXuxP4i8l8GmflsVlMzoClJv7ddhGMeVeFPc9HxUxvuSOkTxZ45RRy
gkFO4j/aN95ik/+x/dIMWoBVTqf0j5HxhKYe5KKpwYsbX9T0ExHZorWXFem1sTU2AF5wwoRO1wQj
UifTt1KchFwOhkHoCmqAfdManfeixSZk6nhqSM0pBkGNBjqarr4mr13pV50JWJqrY1xxtckYGDfb
EO2d7g19aDTfjhtGuhJQTf4fqOola26GEnx1L0HWMCn4UbUhN4HEXAsJvM4l+jqv7U+lhGGPPTm/
pgRklyVbvE7iWSaJzw4lSNuWSG2eTRNLK5jtBN62kOBtTyK4YbPE51BiuUdgZweBbW47SWg3YTiY
ZWqJ8laEEW61tH/TJea7FnXPYAz0twYDfOj49cFgqNdU9jTapLKuYgkNN1X71ZMY8b4exzUhd+jg
JBxOBTbOOje7do0oXWvvKHKFAHVPK5j3SlB5OrTWluHHay4h5vSQCDsk2NyRiHN+cog2JPbcLVlr
6jMo9FDFl9BKPHohQenGOzNdk/j0XILUqxnjVNki+W8lq71zleY4SvR6NPbNFpwfnBHJHqho/9f8
8kwGdBZ0X8dkzCowwZrGVo5ToL5LzHviVTB4XNf8rOZMJQAuYJ+WYHji4xkWV+awBrQDNz6RCPmk
oF3nnYsOTaKriAjTolsL/LHqepIIesYtTfKWMZfYuaxlbkpgQQGtUXvsQubuRwMaTaNO9xljcjIi
md8XhpeSp1k/zIoX+eqCWKD0xnLdionEyvZJierHrCxA60BgXot8AfSQl2wEVYdWYU4eUCBcJ3Ub
P7MedKANRYKoOJdWtyJQaelviLRxV5aNeAbYRL33evtVZMMzpQ8gTFf4k6e8jUknO/f4yVCSAzmc
nyTrf0uTgV43b+Qh4p35Uez71HuDXB0o8g7tcvdeda3rWhOHSrOcVdEgmFbNL7rtPQ6ZMgVaM113
S+PusbTvyqW9axfvI7N9tNQdCgoECWswAzHc+3jeGjoq5qRgsOTi6hy5mRtX3EYqoxsnQg7QZ0Z9
tNTlZUqYJowFi9+SrboTXlyDkf9k1MGMEog3hUat4GFb4ZnFmUyG4ufELYpnO+2SXWQM5JyZ7EEm
YD4HGxfYyrRL2NJW/hkJNWeW2hckSNXX5ajc2W0r+7w0PkSE5K2mMqrW6Ty6EsLdASTA7Q2YCFxo
OUY3uebBkeF1uXmn6y9qCLJLftGussQaqbK3VZmR3WZRUwWuzgSdE6bftokNfMGavG1lajOSb+FK
t3rGCePMKC3nZB22sRHAITXX3gKc1G6sN8rIJUjNZU9De1HJmMyN5IQZJl8bo6ozbKd7N9Qq3BA+
HW/Y+qtsEhCImGpZ7nR7soKkgvoksoW4s1jf6oZcEyT8a0XOW6uPUEayAkYJBXaGCZtTSq1DbTsW
fKdWM1g7MbDn6BPN3ioJGQpJDhCtJlYbnRW9O8dU/6vU+da0SQHT35c6dwzE85c/lzryo34rdfQP
lDnsP11XNmY/AYONDxZ9lmvrBrthytIfR+IuI3R0V44mTRI/66hUTGJ8rnfkDtkz/2oF/N7K/a6j
kitaairPBL7vIM1iFPdzqYM4PatSgncvukHA78Zy0cejuuq/NEm/HswUIHYepjslRCCdaN5D2GFW
DBvwAewxP4MUvnPy0UNvrweAbAiHqOLPvaLu26E+pQoNX8O5CxNsAOw0dBsc68+jM0XbVsffTgbG
vh4i31jii0GkO4mC55YuTmvwfrPdQaPOUGnltO6uiJG+jkrgUA90o02aubJcp3Yf+qjJb3Wje/Ji
R6FsKG7mVNGYaSn3ikCWHw4JcNs4BoVuH7PkUxbPz2Ok9rSHyW3bJOqqqVufXuqIxzwjt73YzmWp
n9XKvAjU8StVM48LG+Oh6I9uG36tvPEY6/azDmH5xpwY5kRFeB5NsikjHTFVY61ZBWovzVwy3knB
97TNQ6yrXwkC4QarjNpHAv1xcpSvPXlOfpl5uzR1z3MWibXG9xCq6Tleqpc2KdvNEKbxepxJJRZ6
bW0LKwTKIciJdPOPcxVe2OI/5zYIotTRT5NbbzszLVeAZuQgW9u48O3q0LqkOnYUuPK7ftRUf168
h8T2NiC1zuMgtmrnDn7rJjdFzgZwKKaT2y6nsXVRgobVp1hADxl0PBw1DLy6JbeVDIZP1kI6r13j
Y27zt9JtzrCiIoBh0ZUnTBEUxChCeWW23em7NvQasPPRvZ41jAMQS7sOmLTRhsTOSOBrETl3UThv
KbCmNVr4w1zq73vr18msjotdsKjvHvmzXVGiqzYHFwGWjuVYJB123SQ7eVN+jzJLI3rAI1TTpnUA
nB6KwOnbN9CAu8RpCPCthd/1TUSaX3rW+npdlcjY1BSa2qC0d9rQbBMrfTJnDSdAHyEstI7sfz2/
K0szKIqcjY2YNzU6LbNbMn+hGp2FgxSNG85Pl+ZceYA6kjzskAUZWz0qj6llbjKP9W7qNTdmOh4S
0SW+aOarxuNnb8rwH3J7lXe6VA/u8VEUHQO9d/qULUFUuqybopUrAVVq5dW33DFQq7Qp3rCY2KRE
8CAxCt8Y3b6GFvZeUZINqYJMcIrpobWbz12KqrYqyxsnIvVTpDca+nOXpFcfhWVQTQ6oC2cIGCwg
DLa6K83ITL65al07jtTqJkR7T8BLmCCuvMxZYNG0uV8BZuvKaWPYMxJAPain6RmY2xrb/kd+0QLG
kUKwgnIqarGFBbwvcNeQaedHCbnI7CuSfCZnlLJxQtMwmwug0O5Rq5tAWHMU6Pm0GXKwNkacwDSu
MRBQjcOo3I7IBfIq5xfy0Mnc96mXkbD+QORzrFDAA/IO5rwNROx9yhPgDm0jTkPFCGKpYw86hd2z
YMEBUKtXtBVfWtbqKvPieXIoI0wvMKr5bIINHRsDIoZOgci9y+/WQmiBhrRtvhDnfEkm8FGJea/G
Ub7y5ua0pA4xBhZcupS3UHWpqKmtN1qq3ll9+FrbaCG9Id93pHv4rTPsEIlOvlKjlTDy61DFkSPY
1SWxJWHU9A9mfx6d4jiRs7qCCI2Wz31CP7rqbHfXFwziSWHwnP46todHVa/2krICV8hZp0nG+TcV
aGPt8tbo2THFS0MYdkQDlOxkgEkVD1ehvdwjG13VencT6v2BYT1CbBb4E+FUy6JvbLtZG8SW0/AM
ARu9hVPY2HhWd1SLZeMSh+l7s0I5rn7OwlaX0KlnI3Yzf9QtY6850bVWAKOIohttcU/owQd/IVYY
ceN4UCEY0x8IP62iZJ0rsbc3IqunVZiuUYyyPZuv0ea/UYBuirwKWrtbt42rbKBLFv6odJe5q647
x/1INozwcws8+5RbcL0SPfuU0sEHUTW8JW1/JHn2IesLfGPlSXgUeH0T32IgCnR0EFY0IynRqisx
TZs6WT6mGhQ0iyQuTuB1W1g3jRIS5aF6T4rdPE41TO9cVKu2zx3fqFy/08RRJ4RXTFJ/Gx3NTjra
zHmPa5yNohYSlopwtE0fqL7HNNCUAjT4AmDGndx1psZ73UKMCbWLXIlSfDUHow9mAGdB22gv3rJc
NJY+a8oFYjt0DV0kAIzQAKbaQfv1uvTcxQ7HJXqiAFbOY5no1yVsUiQfI4mwkD9F+8VydWhd0ukz
X1p72i8651fjgOAtrOLjNCsPsP3vsxj3DLFiQYX2EQHVeBlSNqPm4qIxQQeZ9Ul/03QsQqzMSXam
jNi28RlOLGQJdz3+UE/9xbxO/9lSzCTGIVeTVT3aAaYVKG5/Lk/aGnnd7BneRbvLV5+szXBd+xii
fO/l/rY9k/q6Lv1uF58ISwnErtyIA0zu5Cy+zQ1/7TJwoPxDgXsbD6+kOX/9i3WG/MDvNa5mfqBK
BQQjNY7vdexvqg/nAwJAnZEduwQgCj+oPgBEsvig+tVk+MUfthmYyImwYIT9H0Lkv9hmvAM1fq9w
AXKDjmGWh47SptI2/sh1EXoxWENvoJYo67pyTkoG1opjGE9WrgYeaT4Xr9eNlJz6kJchluxhjc27
g70sti7Q2rJLX9YKw4dJ2VtWYZx7Qo2CUW+LI/Kp/A4A83jpKVROpOiUX7qoGw96PqZ3pjY2RxOx
deF3k/OKts/clSZyfS1pgME5dVc+C5VRFYg/FpXNSB3hZdtU18ZgyQpC75ifvylGvNzqrU3WjieK
EhajlnG3eIzN7TqY9AS/nZrkfiyc9DrP+/BeZ5h221dKJu5UypmoZfWr1ct+qQSS8ob9ksEMwCki
nS/YqwTLrwa2Ug0xCaNbzi+8kcNN02guCvyy0c0AKvegXoE545i24jr5qCSLBUZ3SB3Hn3RZBHJT
siK1BvAVrFCNvTkQ9rcwZg2cpVs1gLPcrqoDTe501KHxrCPBCc1L+L75yeUSCM8U+yCllruhOS4M
Y4uKOtnPAn56UC7m7aK1g7PT5YqpZNfUkaVzqGxAYWcLCuferbkyb5eEsnfGg4BNTvBgjufcg8+v
/DoRvrW8EkDyDy3vyxcYh+w2/0IJJj/y+5GAfYhD24U0wZn97cX/fibwV7S8dMT/+Rs+6vuGEyWY
YTOIlq8pR4BE6X+f8BOhw+RfcwzLpZIGYPBv2l6UZX+c8DuOC9GDnYEKAe9PqAojGQpwzdN4mTJX
9c0+Zhs0iGRdJQP0zanbgDdtGUVZ5vA0JvmxapkC2WANgDrHsbQQt0FYuBqMWHuNzQGR74wpCC+/
clS75cUK9eXK67tXGqQWcCWCoyoL74xesc8YBRAzDkbNhGqorwAuoDoWDwTLrEe1gBbouQf8rwdk
Ym/pND+MArC8mV7qrGEnoO8IgpAyF8ahcU4kZ5Ih7F1mIwsmldySyAM1j7PiNXHMj6OtPKeD8kqT
B+8vRCQ1oZOFfJB/rXPArKmqXHW8/wwEqdJGPMMronY+zwJCHbIYzc8c1GcD/Nygn8sHkZc3uh0B
4GzgQ84m8+me0Leo2fbROYr3ADdv69Y+G1n4usA0n4trW6vGwGjSqwI2/DIlj3ltIHIOv4jCuh8s
XDdq8jZHZkXvod+4kizg9gxth6j9CKcA/GMPOa7PRLaZOlR1yEbroLHnuxyBRdA5IwEyrpr4RiYa
gguwYi2lufg5xly/RR+6ZhLYBmaH60iYrGgUY9uDp7+1tEzn7ASxkMzItrXYGgKrhE/a1OwoqUoH
P3W16rAozW3ZTmhjyeHe4gbaYxSNg8bo4g0NgrXrQ29OH4pIcaKz3i75I4omltEZu1h+fMPiTwYb
nGGKGc5b7lvrid0khovomtSHX9855+4dX90A+/uKYMghjAg59C42tXBjtbZ2cVQMHwxoe0Da2L8q
aQTLpSXMxRvWABje0cM9p9I2ZkkD2SitZEqFqUzHXeYV497IQRo2IRZ9aUBrcKIpPRPHXh2JNAuZ
eAzSsJabZNQ4LfHPLW62WtraDPxtk5jLe54Ax69Mp0Rlhw2ukIY4V1rjIjxyrTTLOamOPDkRr5XG
gHwxZ3Ude9qV4kqXnYrfLlcsDYlZ1+8aacbTGzu7q+06gzPrFPepNO1h+hH+YGK4w8/XdTZY/p7L
A1YAabZw/ftQYRJNyhJutfkywuDFVE0oTY6qbm3F+ngkW9rdzHFoH7pZfZnCyq/F+ODOMC+NQp1x
AVRJEJkei57JVPYozsfnNBkRHy91GMRuV2xRGqZfUvbbu6wf2VfVLtGpYtoNC3ERTQcQJGgW9FbA
V5qb0dDCk4gM9+wO81XLTUV7TMC4U8a8mfmAsU91p6DTi/asuMyyWnpBCNTTsn4/hn9VqAY14z/d
R8V/bVDcfInbL391JfHBv11JoG+A4rjme1MBAel30Y1uSF8N614poWHDzL3z/UoiIhXIs0ntIVuR
94/6fiVR22LkBmbz/2TGkSNdkD3yk7K0+7nRsTJVdZOwWS5L91i74Uo+9z/8YP6il5Kf4fc6+H3S
y+eAyQWOXU6c/5e981iuW8u27K9UvD4y4E1EvWrAHG9oRdNBUBIJ7z2+vgZ4896kTuqRlVWvUY3s
SSGROAbYe+215hxz2RI/DLW5ZfVyLBXp3ICBq6Gfp0C8tZ99v/n8Or9urf98nYsjG6zXEsOdxvB8
8YjXh8H4+fkF5OU3fPZOaLd/fCcBw0+5C3kn8miQtnRvMPvimbMECvneQ1XgNP1TSZsmumoRPUvR
axyuAijDxXWb3wZU2S1May3wTPSmgUpL75bzvDvimf38lUrUMp++Um6sj69UoRkFZ3T5LBTPZwpc
lQ9dz7xPUs/DAsiBaxNNbwY6voo/mnrkfP4Clorpn14AeM7FSbZI7+ULJUOOMKulHTSdJ/yj+J4J
xTwkKu1yZyoX244Vs2duYxMx99jYWjfcSORG0AAocPGLwkz7nhQyueSQsGoDcTewftfrNHuUM2U3
+CI1EvF90v2oZPFaSSyUvD54/DyOvVqvtyVSA7mvVlI7uX07rcP53OuRR7y1vZyoUO+ua9TKmXzl
zzGy9scGF0rQ3DWBeVSA3NYg1nuUOfJQbJmTOAZZglNcuglU2ZIBrk5XdObwEU2S00kdSsjMG8rN
VD02MeUHcMpqyPdSq17H8TEes3Wfy8V9piGXVmZC+ay7Vl0cNhoMRmZmWhSorhpVpiuajPSKJH1C
d2VnGRolS/ObBeB8+PwbWmQwH76hpcNhfnzw1YvHZYiQI4HZn8/iWtn42/nQPihrc1ufG1s6tJvK
qT3Ews60UpxdvctWhTs+CVuYRGtxrR+jVfxH5MV/CXZdHp7PHq6LgZCaEjiYLbdskWwLIFmDizcZ
Yar4xXL0uzvz43J0seCZUTanYch1hNxO78af1YJud1CJ6P4XD8EFb+yPFenjQ3AhZ7R4/7ViRfI5
xPcEtsntCDAJ7AEaE5SpM4fcz7/T362AyDsVEdYB6NpLxGeGwscwUkU+D4ye8vl7L1x9foHfLYAf
L3Dx2XFIMAAGysQy9+6iCBoEpxm/Qhd/dZGLVdYaLTg3Jhex+v1c7Vr9jqHX5+/jd1vSx/dxsTxO
7NWoDTX5jKOIiDFUOzrkMMZH4x/fyH93dXSMftRFU7y1/3P5zT+KcqqjIGz/169/bf74e/BauC/t
yy9/gSgftTDeX+vp5rXpUn70jwdv+Z//p//4d+nw3VS+/ud/vPyEa+tGTVtHP1q2l0tZscLz+Xl5
ZL8uXaff/+RftZGIgE5HVodNd2nU8YR8OK7rEC9lTsvvUfDc7H/WRjrx8dwA4l+iu79O6/rfJCLt
0DrpgK+xff1LPmXF+HVNYo0EGCKJtPAWNTIyv4tbsekmjW68KZwMLSO2lQi1yKdkT3WAfFJbrBJj
2giNytMdZtcc0i0sQABwBmAUjE4LN43b7VzjJEG5GjuirhfsKASAVxWZ8YRwf6e1962Ix+dSrI4T
zSsEr+ahzNLaUwtk86VyH1j1mnBcDg9tekPPrYKhpfxA3er0ht44viJeW6LAGdr0ySeL6wdxNN5G
VR9X8VDeZnJ8b0hLFFYyV3YnGLOXWdWj2pWdG0ng2xIcH3FQYnophFVeYc+QBJhoicDB08emyahh
R0DJELmaj5t1HpAOuv6oPpdpL0zXaM3MfkXcwJApdtG0HNiqWCwR+0tq4FoYvdASW6tSYhbfN1Pm
yZzusHwoXq8xImBQf9XFEzmcOcaqgulNJ8Y/W4OWJfIBPJsmdub2lPb3clMYZIkNloOMjbynqbg1
RimxpUx+jtOGXF+rlr1plJgnF/1e95tmV4n590oO49rN07AQPTLh6FjomUoa6zuHEQ2MiwL3Tgx7
qCOUDCxm4tLNeMzV4huSrwI59lgcWPcmRzAsYmStM3CKbQ4IspGadYZyIQUQOWr+I51o3HUJ8MgC
2hkzMnErkUJmk3E7eUoLa9LXC/qnC0aL1/OAKTXa9cTmgTiTCJ+RfEY3g5KdfVO8I5SvX2U4lpE4
G3s1i9rEbocq+pY0gpzi7sb670mDeZzl6RpgWMIK1qCWXMLu6lK8DQiE8Ksaey15KlVgrYRR3tAh
udZiY+un8zrpu00ozg3VUXDXmtl5tPq1PMrwFcUeIh3fPOVqGIOKUbP4QTOKO6MI1wMnfwxmJAfW
QNi64A7Cy6Eeots66x6jlpRDjPBL1njpMM1DYB0payKWtRXebHk1GtNBzwtxz1ce28SQv8aIu/qa
1yZMgeYBf9Q2uuwjkERrNmvPco3EcZn0tF16JBnsJtOqcjtpbXBQBPU26obvudB4WXNXd5LkWJV1
HYSxWzJny8t5V+vSN9GKSWkt4nUT1Rt8WojpEKVGTfKcdUG0Fgz0Wi3CAqUq3bAMIkcSGDvBbHmx
fAKGxYyOuD6fBpHWCaFxMmf9ohHcQhpd2dS+K6Wou6If385BeB4k9aGqhwPVxbe0EiVPlBnZ50ns
RIlw8kVrHZMz3BH/SDRz/r331UWbBZAvmAYQHuk+TflvkrUf2q6lsZ1tzaA79EsGhJrNYEoVZWcU
jOwTc0jlFXHLE2GJQp7dhCITDRtn31MckcusIZSvNfFtFppNEvVPjTWsBgvFgMlLUMznlvSgrMNR
WND8UCTCpVtlUwfl42QsmsulQzeo+sGUuxtTqsDXjQMju1p5jLp6i8XZSYXex8CqXiuEtRiGci0j
qkPe0R+1nrnqqOVrP0fmZ9XlJkyMdWQmD+DxDoHY3BvEsIDiEkk3Vl25TI8hWrVE7B6STL2tI76L
rOx/qBmPmlgfsVTSK2W+HkwMSeKo36Ryta8s+YabZFd0dPvCuj03vrjqDRxrHZbQTK7IrlLTVd+I
V0U67DG97wW0b1TlAsnX6kaE29zW1Tabh81AOIs1J4cRyFebzteMNnEkZNVRUer9WHLLmvSnsia9
98X8OSFjSq20bVurr41a7lDabiUl/NY30a1mNneMq1LElf6q10JyeEwQBOVWylBhzFmx9WXsZG2+
g6zEEyYNJIwk+2jOn8dUuSXhlFMNwwwJCIsT6yKxjNEqL8uzlhX7yDDf3rfk/+7iZP1anGi9N78W
I/8/1yaLbv7T2gScsf1Sf/890Jgf/rM8wTxOAaIyyUOsJr7DUv4qT0QmjLIImpjiQGVI9Y/yRPub
hBsKM4FumQYND6qGP1s3yuIrp12vLGgvfOrqvzJN+LXcX6oTjRpoGXLKFPz6UpH9csgPoTW25Had
QqKomtM4Pn34WLjvCWLL/we8rasCxW/zn//xG2Ay5gYV0R9WLDAqmnFxgOn8Rm19bexO3ax5sly+
cXg/pT5d7Lp9azHbUnBEbqbSGkdasAVotKmr2OuMssRLqpPbNSjr3ICA1mAc78KV2pQ/hRRrjmwd
Oo0OatMmgz2H6VnqJY3E7b6tlHNA6NnihO2RPsgKYDBmBisFc3JjD6K2RVTgvw14pBQlC3WXaanh
qmqU/qzk1Cd8TUo9FQU+vaZAeIzBPICeVX904ZitWoQhjpqE1V5CUm0Hknk2SkOAwFw/WnWgeADz
QyzN6nAVj+RnKnLRrqRawQFR5/u+jp4TWT5oDBctK4P9EQAUS/NiA2NqBjxa3flays4VHU16s7At
8mdBxKckqeMbpdYZSymd2IwM0I4AuKBsbw3aBQIrhFLRSReFTV52u7YUCTHopusxMXfxPNIrmmsX
0fsOUdSLL/WEdyKBCCyBmNPopcVrZTcGYnZYjCmYZYH4HaorN/TlJ+LVdlZnbLJKO6h5pZEY3B9T
hSRfdB11WW10spDsQkWXF83tZk7Sq9rn+N3M4b6NxKcSgQ6q5ninCupdm1JxyTN5ecrM7ouP0wmb
MfQ6M9pOaRXZWqwhVIoxolVI5Ao9ee5Ui+FSjcQ9YGyUt/0Kj8uODCuHcMAHlWC9IdROsM2eYLac
k0i9CTOaY52frQ21P4ZDvS0wYQQMcMKebSmzhk3as8XK6a0OktZmGPtAk/ub5BsPut+tilrfmbNG
wVM/62pb2nTOcVc3TwVvnsV1XAuYWpIU8pWB8cTXXCUZD+VAA6mrAsbSEyzw1mwwpJPQFujGM0/B
CgvhU+D7QD6aNl4JkIWMsnqbinhjtrGnKuVzV4tPgiDeNgb+4ARnSj8CDNPS73PiXxNGO9vhFByS
eElYIimLsY4BadVyqhIFEZyeGL0renMpo7gtqUfN2dCO5tjkuwhCAGMViTmRfhtb6mNXNsFKkDlo
IKHl6YmHW1GK90JXmhiDBhSyFQZEQdJuRpNMwg6gwL4PxMQedaXxrLTsSYKKfESSAClaWfciDPmi
TvirVfnEBVmM1kLUMYXdl/Bs3azu/cbJJsGflg04Oo11pB8qqDVo6TosecionFoAx0z9GbpqCDQ3
RYvrtTOTr7z1k5uCyWwLVVncl/qSgjch2KrqfdvCUVTLZpujYrAlZfHhyVWzQaQRe0HUHYCEsk8m
Zb6WZm3tjzMA9HERaKpp6RVtVWCSidKzgVaCnDihuYYHTgqjX/7Q5ulb7SsvRlJtWN+OcSih3pFI
ZZxS4eAnsohxXSLOUddGp02L7LbQOoFH1fDTh45su6GvBwez1lklA4yVxalj1SXRqXOLMt8blcGC
KPGijeE672CPYiW0WaN2QeVvMCaAAoidcm4P+IPAGYdHMRUfkhrGcbd0M/10nY8JPlZObU3UQp9A
JSy1hNf5amR8LwdBRq+GiYO575DdJVI2rHqKaYUBD7JlXNihOSfeHEX1cTaTkyKXGwyG1xJSP5io
hCuSlrYc11yWvK0s+R3Wbhqj6dTfL172TM6cDqpHitKrC71paDOLNafbDaJePOdqy4kqEt7ga4vu
1OE25XLMn0pdPYN6BzWFxbzf9HHYrwlLm9Ys/eGDX3EFuUvv8gzOBE1ha9fhpdxB0WYMq2EdQZeD
ZURmUFwYd1pVIExWY4K4MhK63Un1mTwm1Z3uT3cmBMbH2c8hvHbIkbUukGxjGFftZEJ8F/t8Tap1
4aT8IFGTWvdYR9g7R3OK5kWZDZpaDduN2ud8xQNDdjOrUWYWT6Aut/kASMFAe9cUZ3Eydkk13YsM
4fuIcTlhnvddKt+ZXWXtx2nst4XAEbLw08kpO5iDpSg+MfhUXGVUq8dOLyUX6Akq25AbHTYGrmJf
eZQpJ299WRtXMLctJ+7Eyft8e77ok717SondYghkQPtFzfTr9g80kKlSEOenNoldBntbDSbXUDer
zy9zOfX4+3XQTcAHU3jsL4uA1pizJAjzU5amx0aX71mVrkyQhSyXyG8miy9gSjc9wbKpmWwaOcS0
LNumnO9ZqQ60r4EVJtchmYk6cEEl7BxUoXYe+K9Fp+OL4xFA5nfSxeDl85f+208IJRdmBkCyZDj9
+glpWVdErZXkpwELdjAR8ImavfiikW5dNJRVmMsIyUAFoUAzYNpdfA+QX8opS7r+VAZ4MQVd3SrM
WWzRr9g3SKtbQhMfBeD81+QhuZMlbgdzYA4xlSxUtG/mOAPLhS+L0ZJ1m7MrdUUPoQyxFU0gtnI5
RhRaBKdIiHbw4vjMZZ4bPSO3dCJifZEUvCRt6kh4m9czo2O/kXQvTKPES1rlh1DLKxzpxGEqlY7Y
2SJDtMLmFqKlYCuitAn1LQbsVxxxL6OBoY8gWns00uMEk902jEnYiNIQH7EuZ/Y8IvNguBO5oQW3
T4qCb34nZXfVoLF/SKDnsxImmV62G10avL5gi5OWSIrYSDziFc4I53J3nJl6oPU++OJLp646zdiy
Lj6ZAsc5g+CGKVaRG9chvkKMbqWOw1sQ3Vml9Bh5zFwjgAkzCtmmbgmczaRxx6DoJYnk8AcIvLWo
V5lrpOFRLhjcKE21ihSC6uFG32S6niKQAZGmz+O+MpovxhgE2vw6yHi/H3ggF783I1pIh7/edZj1
i5x/a09oZl4UMPnuXPbpSQe7abOePgcNnXOSvhxJHwlWSIHBKumRTwVHH2flDRb0Ywt9H4vsUSvM
RxLlw1VD52PVdaK6pW3doUygs0TrDcl7oWYbmU3dHaSocs1aoB5hIRKzAsafVt0GGSoOKWxIxxy6
xkYLR2+kWunZTE9af6EDiptfKgynzuR7XZ6onZHAK63kYoJjCgQDhIAD/REnLvEo8k/AHfCYBpYB
K93o+XgHKfZg9LVTAT7StYk7BGveJN9qfX9M4vC2irQbiE5rfWofzQSqPnWj6OlVRy1Y9R5Gkt4x
F+OmQmtRRKvo4jt9EbgnnNJSniRFeJTCvnKrlslZSERqPwsjvNuCkON6LYJ5sPIesgBxrACT1KQV
HdMc9kaN5VXqmWYRH0LH/E4ZypMFoqRBaIgj7keFCjA39KUteEw64jX65FyE48HI9dWA6SI0Iho3
iKtkK7omeyPZTubsFXTz9NR3s5KCptADziU8jL1gXQ9V+4YVyEegtCi7oAm3HSkrTejKAWYUST/o
cPojhfGhKQWZpwYzyFsq1KQLD4Lke4k0PBQQjgMhutJC1Q7CYiUnwj5jFw+HAP8oUdhls6qAV1hb
FT6kxK6Z+sOqZXvPa5TqnVDFbpoI63gw9zP+A8OK6EdLwcJJYNGdEXHHkHq1wbwCRbEhEBWXbHUg
QZWqt02Fc1ouc8zU2KnBsC/f+82LDxebKoBeES9gibWy4ZSQ6ihiMg9UY07f8krXPAPyDgRkzBP6
tCrUDQkcD6UIDTMTj7pW10h+1EMcDo3d+76/B3hmOA0IaFJh/Xw99LNbUjds6Ek17qQbm7qnCjHw
f5A/23u9X0tfbG1fPKnvI9IPygQ5tCbMvkkHlBPwWHMkZNgZyZTwh3NSH6FtfDGf+3WcAAWCneLD
yrBImT8e2OUwzDldsDIUxatk/OzHm9465MEjWrIvNr5lz/kwTH2/EtEBqoyoxMAFuOyMH97Z0LRQ
QMR+PM3SRIM5Ghsn8uU7rQmKbVgwWk7GHlwWxItCEqUjClbN1uMC3VOMBm7g9zqNJLwhmbwec8W0
e6X7JkTFuRCN25TyjVOP0zby7Rg0I4arYJW10XMeqw9CmJY3QZf05L2G7TrTur2G1Y3CwpskcSAV
2V9jMjIeUL/cljOtRUXbdUq7jRR5PwfTViut85CQusK2bQjJPpEBSYNUhW7ljKX0kJW1F6X+digl
+sxgS1ote5nFCWT2EDxVjAEe5GAxQTVK8MWn+mu/5Y+v7+OHukwVP3yoia7mUQ3k6GSOz+H8fTK/
CIb96vdfbByikFIjB8l0iszbMrbsSrn/4rb4/K7QL+4/5sOJmMjBdNLkK2R+Nh+TGE5fTL2XT+Gf
bz3T1ClJJQ2Y8K+f0mg0Q9iovAsLyln7ox0yapL7aDS++DbkX+/x9/YXEztNYqu1KE2liwtNcYTx
eC7lE2XMDzY19y5d+a7gYaJ2HuzcftjqTn/4fhM54bfRe0m96TtPdLNRtp9/qu9W1ct3/OGxfn+h
H+4Lq4+s0iI06tSueld0MP7fduvsOlxZ3gILWklrPucVEVg2cAcP11vvqaf8x+evQlu6fZev4uPd
eTGrxASVmjJ8tNPjuJU9kgFW1pVhQ0C2Q3f9oDkHgtnX1ilcjZv8Vtvc+W6wHjese/a8LiwbWbGN
9tYVDt0mXzdnAriJKnC/FXZ3wri51rbWttgPm/o+W91+/tIvsE///GBdVNCC3ERpKUTcl3Zhk1j+
Wq7KO8mtHACTbujCPltlu2J99ePgdVvN4cAe71Ai7+IT1nIH+nhi//Sdb5+/qneJ0icf6CWzJ4oK
cgV1XlW4tezQmTfZ2r/LEVE6+NYw+Nu1M9np2jxVG/mZRpr3+fWX2/efL/+P5+hitWGpgYxfTuNJ
nAvPGIb9LCSnvhOLLzalZVX57DoXq44ZmUrfz+l0oqa2++GHOG4GlNigXES8oeXq83f1+zXur3d1
eZgUMhZ/rYq7E54RTn43ZXD9/3aBizOfMprMRjMOUGAs5Zg+oPUVXPyLL8ZYHsQPj7uQlWZuTDxo
RXlqsmRVyo9zZ37xrXz1OV0sbo2UNkShx+1pXL4VDHPWGDuff1JfvY+LG6wDv9HlTTadBiLjIv2U
Jcinsy8UQ1/cXcbFqqT7gTDRnGM3GHVHtXIvSduzonSOAcgxHuRTD4/r/+J9aRaaWeYsIt7EX78f
YkgVYABtd1KztzrG+R/S5Ft/fo3ffj0frnHx0KQQ1YQqVMeTFgPeFK+z7IuuwlcXuFgS5yQblbio
+pPIok0zOlHSLz6m9/3xswf/4j4OyW+R/ZT7mLOBTQTHrt/g57Rn5H5O6AXnzs6+cFVilvl8rVne
9YdHR6L/J7VyyB71SGM4Z1UlrsyG3fIiHeZtb18B8+MfbM3LHEyg14J903rLrn71VF0pO07tUEU8
9CKb3AnXX728327kcLf+Kl0u75yoHkTJ56GTzstGLtj419RtLjl2slbdh9zeAcjbv4nfOZzV99N+
sIcvVi95WZ4++1IuvndYAEBMrYlawgVq68LjlXXb2qfujXXSD3hI3CeArXZOx3ZVr8v11/nWX72E
d0jZhy9JGDtBzYeyPQl7MlFcOpvxT20FRG/fvY6b0ssOxlpYC2/Bk+KM6+QcuPHr50/XhTb1z4Lg
ry/CuLhPkl4hKjPn1sTGsIKKbEdLVbdNnLt+O2630VK0nNrMfhCRpWarcm1cIXhwOy/cDnb4nH6x
Ur4fzP7pW/nH464xIv5435qCxWwoZ0mpPHWtr6FIj6t5NR+ivWT/CLYgdRxzW25o6h1Gx7j3ECPz
FbXrZHUbuUuR8Pfi4N+je5UH4qvRvVN38z/LCpef/HNuj9VPg6YFsFRnQG/+IiuEi0PYuIk8EKcv
I/x/zO0NfBr6+833R4Aeq9efc3uCiDlwgOWSwFVxIv6XdIV00H55yvlNWIwVxPE67mXyxJSL3d3y
BTpHplme8zEqMP3qNXNZfGEpFPYIm6wnx7VkN5TzpOMaoD61dltp0ltPpKxdZNmwG9JWgftH578V
u01QBB6NFGaZNYkhRU7zacFFxUb8ffBr1Hg9w9k+R8aStn3uGRmYB6GcrCsm6/dajWSrGpQJVOl8
oLC5D4K2cMTowY+VOwJs87OxiNOKRabWLYI1cZSiXYaGzSfiyUss65ocW0LXyYxEPditwNEMdzl5
kuTT7ONynFbimHtCM95UJE+OSwRlKlSAbci4VKu1toRU9qRVZkZ9GzY0uEHYHJsl0DJolXUiWqHj
k3U5LaGXYAt7z5gJwlRIxAyi6hZT1SpcojItFdRLXUfbnhRNSQoNZxgHCoyFtzbzlI5L6uYIwG/J
4RzpurlpvdgN5xs/WLI6l9ROY8nvTCMEdRmRnlYZ7awl4zMm7HMm9DNe0j+jJQcU8PR6mEkGrZaM
UGFJC5WW3NAO+GhHkKiyJIrSRWXmRcYo+qqbuDRw9P2UiSA1+HXdkkkaLemkodS8hAgG8Q0i+FOJ
MI2XLFNlSTVVdCSUS87ptCSe6kSfmoV1g6miuKoy6Vgt6agiDXZmuCSmEuAjr/E+36l07p2kt1yT
eNVyyVklRXgDbz9ydSJYxSXSwyTr2iectSnaq4Gw1jYFCEZ4a7GkuEpa9GAtua45mTTgXLGpWIS+
zoS/TtX0KBMGS7jus7qkw2ZKf9MvebESwbFceYR8l772BpmyGD4Vu5Im1BQm9kuCZ60lgbZX6u/S
kkmLhkTeRkv0TShkBtCXztK8KW8qQmgZBRKVU8d9eYI4bezKJUhnbJZMHeM9X0cpsXLAXP1Jysiw
6zXFNn1jVZfjplX81aQpGED9+slSUaQx1icJp+QSNJrLLtnUAwVop/ERm4G/FrJwvlfKQrJVeRpg
axi3ZqXvW2l6TcMKcEai3aQ+4Wn63Htz1p/kcHAlGBseXaF56eb/jOfS2raF8RMNPuQYE22l1kMQ
L6TmmkE1H3F99MmjcQ3s9rvCIF+AbrFdJaoXYDLnDjcR344TPzH2mO2HYKJV67+lpX/FwLVz1awV
z33YFcQaYFfw53RfybnozUw7NkGHRgCJACT73RDLjUu77ymG9gepv20PpAcgl8ER9CqKfnJXiGqJ
jMIEoCKlIUKY90X537uTSo38ye4UvjTty292Jn7qw86kIFGntMYBbhk6h66/FGXK3xBZLEw0vOHo
29l+/i54f49vpYnLfoUzYclv/WtnAk6LzJRx87vSbBlB/iuKMu2i8mJnUkF9L9sconyiwC7jLcl6
FZUyrdIrkXXL1lQmRpI6fENrHqzbSjiXIVlRBBQfk1Qmg28i/ZU8D9QqElLi0WSiGx3pgd9BgIEE
JeFoAsEIsSZg5TaVjZl2K731PWCMm4Ew8ixjujSg0KJB/NRoLaTUgWEDmqJmJLvZiI9T273CL/MG
S/FaAZnMJJUse+oP/PzrYLIixntF4ghR1m3ist7UlgU4KwDSpa1mOfbw6Ya2pPUHHQOWMfSnQWYA
PdVqhClMfkkxJMqi+BiKvbYyfL9zSsRm65pZqmNpcJRUvdlpI7olk3CTVhY2lhJ7SRjf+j3+cBS5
zDjJ3cvRu9uNWa4GPRM3GS9urxgyGg5z4MHMpdxmfTtbSvoT4Gq5nuDu2FFASLcw+XcEePCYd6Mr
5oPAYhIfExXweBTICbzSMnXCkkhIY4TrZkymBwRkF2pt7gZDek9surDLqtztzOI6hI9n56a1k5DB
2Mwgj1Yu31VkpMvteE3il+B1M2aBKRvW4myCPoXQKMj59RiieoIL+BTH0g1tJ9Yln5EghM3MmXTl
bs6ipySv3CFlPUfMi146ig4qUuW4Et+aZtY3CNWQ80bd5MHXZbjrK9ddGz6EMa8/AFlnzyxzjl6q
m04vSrvMFRXhdvdaxAQKNikxiuDVIgQv5BvoVB9cR8QaOPlWTkUTPgIRuCGXcXQKs0TZonRrgkUT
u8rbyW6Zg7sD4Elm3K3lSlmirrOiOxeF+aBJPt970xE5MVaIrMonqYsOgIQOdWRFWwENIDx1NkZV
ZgJrNZNMYovS2nFbrn2lOBEWcmCEaVCyEBYcNNFJjIunKq6iVZUyhe2i2h3V3NEHXihDLLrRab+p
JPFKlhun1IZsk0j+vg66bZOX953Qr4smR/hbrHBpWEzHIuAJTW95qj6QDZ+iuDHF/hFg2GvTy4SU
jOshKkmpySviU/VFssK7moyrohpaJ7H6WzNJV624qzgT9UcfyNUkWkjm8rOk5Vdyjx5Jm89CpxMV
O6HyX0rHrquRGYSzK8+Ie3TqG27QyHd0AZY0AUV85PxShlWlg3QrY1BJLFcm9m9hMibumCnIn5Zs
LCVpvo8xCRGF+WbEY4dYpoqdBYa/hriyDSVUdzPq9RphsxLZZm4hwCPzyNNGxXeYLA4rSzCJXsMq
Eoxhuyv8JF5lvQqjsEUYECY/C6V/rObuBy6UmPErCoFAGa6mLiYNDvyYM7XguViOepSiXS5DTAvS
ds/as9CjSxLbx6oihDJrt1pOnNhK6dCg3fciua3rENbFuiNth2epysG5GiCuAAwEo+SZuaDCfegR
325UsP1ICRVYCSf09lN3a4mZ1N4OVi0o+27saI2TPhs+Aq6W+3PSlpsioPgrY3LcCjVRQYdpASE7
84tUBzcN1hqYcuNOVfNuVQv1uDYFfa8ZIz4bU1XRZek/wKM1dtLqaM9j9TERAGGHS/CqJM76Tim4
mZOcRFD+O10JrXguffUFswuwLRNRKRqxt9YK0ZthfYF5O8i2KPaM8ltUt1MyHicCSMbIokFWCkc1
r68Fv9tnZvHcRwPGAYSZI6k2jTSKdlBqqdMo4y5kPicOIOeM8iVKYPAvdqhWhmWr4GGnykWJKMcn
v7EOQjw9paH8NksivyXQ3pI++5aLxA/NO3kaY1fVajjK9U0Cy9sWQ9EeR3fEAhEaRzFJkRaOxQvz
nW2IDN8ZBdqHFUJ5m5vxpBsJAlbN4iQiCNcyO6Y7GNpMHF93ZBRIduHoO3wK5cbIK5J9CrFdK2rP
2g7ug4m44c0olkhQEu7axJ214EGusRCZqPHcUOBMZSbWwMVrYoETa0Okr+TMAFtcZSAbajAJHMzG
ciDzZTiQAI3WyewRGEnGORryY5ca4E5AZFo5RvesoTZrX3RrmDzg1bcTJx8qSE5nvsUGglPj3u8A
cXdD/kB49i4WSCAyuvkR+Rl66U5XuQfgN2iiLDh10b42lnXPAr0SSxzVWbgEgikbeoX3VY+dJQLr
h9Zzy3nuqjfLG0srvkdsdOgUxZMqtnuEUj6kTdVf+7NUO5pYbwOhZ0toh8DGAhfbYZJsLW1i6BuA
XjXlat1o0eBEaoM+t7uiElnlcvutz6RNmYC1VDu0lFOnjl4iErwBTqdCcO3TJAr4V4OjiqsnyAQF
QVrrcmhuWz5Qp0HzTQpabMPj3JFQxRFUhxHXjPfoqUUPae0xYclaCdEcrIVB2qeAXJxpoLaGsZTu
A0m+0iXYp0JTVsRgixlgOQDlSAvgPCuV78QGMCg1ugq7+JsgEnQm5KQrssixwGnDZs5kHgnNvJJr
lAempMDuLMYfGNAfmFCAIjF+oDf6MeriqmzgsCfBIxAPnUSuaOtn5aNYmBtFrW8H4hdRrjiKPCWO
mALkq4eXhZLZGfKrlcy7oIuuZ4K9bKsVb3N1WcQFbcVaH/7Rpvp32b0gIz4pu6PXuv5d2c1P/VV2
E/wALgOxFl5OuFDSh7IbYhQIwndtI4SKRUb5p8/U+puxFMNE3iDnxNHBL/yzIWT9jV9CiO0iipTf
8cp/Om6v/mgcYtb9L63vv8FC4eFApgFlCluIDIjj1wbjrIRZKBeReFZMtHd+NseeLj0XwU8Qbf+b
vfPabWPZ0vCrbMx9C53DxQwwDBKVLcmyJd80aInunHM//XxFStsKtM94U8BwgMNzcbAlq9gsVq1a
tdYfRgPFhtJMzwIbS7ygc9SzLufnpWpdmkp62WC+Anj7Om6ab2RiU5Ts+6Mq8u/S0jhCeO5aS20U
RLFZqax7xdSBjfcopFnRaW1YFRmNAR7ca27x2PuMKgM0UUeOp0Wh1DM5yO8RSiPWqqcGquPI2S5H
n4t+ON6pulRMk74mFU3ndKcsVGiDRYW17yRMxzsERhcdtiuwLepP+L7eQ327He3szAmLO0gymBIa
6g+JqFeUzRfwzQDuG+OwdKTD0Ro/BQ45Jp/sKHfCBs5nClKuxsrd5cSz3O64xtOMPNieeLgKWIV0
WFatTV5rfyk6LiaC0nc8NpEy6VwM0uUY/aBOWphdQJkGEMeikYajTKdTrrRII5vXXd5cI3Zc3sbG
sIxzqjIm+js4ZH+VUWi25QzRWbk/96LcwCgHxogRpou6RRaob5pTXa+OTUfImbrGyaA8VojLe25z
O9hGB+ISLXTuAfA7wCDGhXYeW/pKsyjBOIZyu3Zb72T0TCXcSevK8yZD15oU2YZFWA1HYNnmeRuc
NRVz5nmxDmXVC0FERmHdlhd1jwjo3LXC7Kg2AqM/rbMADJ6ey/VxZtvevLZQVFXUGs+fIpNL8ra1
lUW1trWI26I7DmtDrYnRMsYX/doEI1EzkKoxYsqej7drrjvQBQuKMnhopMJMAw95dabpWCaowmpD
6+RZN1YPEDD0qRMVP0Ttk9Q9nA3CqMMSlh1YvF9bYz6cWpp1Ifkq6qVqzhgyuabk38W9fp/aWIC0
fXtDgQaLDWEPohfGY4hfCCnDaqzLYdLiJOKZOksBGicIJwirlXpaCtuRUBiQ6Eb7qV9bkjjRQvfL
ezsy6kPYovHcwL9kqJEZzXUTB3qre0QvW9C5u56Vw70BP3p7KgszlNjDd+8+bmcpLilpHz7qGKcY
GKioqYfW93iKRd1RmOVXrcbdlJz4NtcB2pmYsMQk0JaO6rQnm19duNxHBj+xwfZ5Y3EVYOQy6FKF
yPV9ahj42Q9SdipZ1hjMGArVcyvCodGXqNuQkks+aP6yh9bY8Y2HPsaDQ+YdR74vtKkvxjI/wRnz
B0qXcDL1lstsMUTlw7/LOYgNUGWh7v67c6WKgiFrthR0+Lu/TxYFdyBg+LQTEDhCVOXFyaJhMOtg
eLE5PUQ39Lmggz87FmeGTB2AFsWaPfh0slDQcRzk+tHgR/xJQar0Two66BS+bTXo9D84wgTb0ORR
6He8bF1B/ACgXprZp76USdxadLT1XKd/pncLiDqACwaE+VBk4+xhyk7lOKFYYQZWdIxCYXYXJG51
Tjuln1SaVtyEJKQLo2+qiy5y88e8FkStmPDkx9ZAVRwDN1C7UkdzguLCp6pM6ssiBM0tySZMOggR
mIO5SjwbUze9iLzcwQbIvx76GAVjRZFOVM/vjkbbTG5rezDYgvQEkHRuzuvKt47B6WbFxGqk6FAx
EAYENI7PtVapK9g78Z0hx+nCMyq2cu5WyxaByDms7WBulU53ZIWoojZ+m191FG5jeNiHEK/yWQtv
G3a3hKb0Q1Z5vn6qYK46wDXJogbiUd1IK91zQv8CTnFTEOSrtLy0fMoQlqf0/o0fOtweugYqykhy
a3UXNs44Jk6fOo0JvFw620JspoXVMzO4nQanppRShgmaePgeInCPLgIqCbCv+nuzi7XlIFlGBsQZ
+XnPNzlSGoQH6y4bl4gRCfS4GsjgdjlXAg8LHTdvve+spGCKNva4dCt/XJlBf1dKxWHqBSeSRW8g
UbgrdwaEbCnvINPYSjMcRbBpSKXr4SzK+nxmwJagj5NkyD8EnRcAO6/RIS/ahIJNVHzVrYDWjaPc
aiT+i1zCh9WXu3Zi2CVw/7Ayb2w4Ase1VDu3SFqYFz1C5zNOE0fGqtbIPruVDNO4jZ3vktVJJ1pc
W5O8Ty7RTpVmZd32R61En2jexUVRz3o3yBGpyqpjHAdSnJ/sivvnaH7zyKdno2OFtz3lgjMr1MNz
ABnhPSzAbNqN6AxUEa6gY9NLpyxenB4spHJDr3Tv7DHpbtOwpAOT9XjeB33+yW/jcpqiKxLPUl0H
M15V+OC1qNki/N0b1cwruXngt2CYyMCS1kNbwcroxOo77YruHVLxcmYqqzzLx8MikKuJw50BxQZg
tf+OxZtYTN79m1jc1PWq3BKJ+auXkZhIil+IJpRfBI/p79K6goWlTd1dF3wpVZiR/MzxUXYh3NKP
dRRTdHb/zvGFKqwuBMyQ5hP6fH/keIKxydtIDBAbSiB0cdpwKBnzfC8jcatyay4kZ7jkvKgOQfum
80qXMbeONNstyDHD3mCrGRJuIm6an3ddc0PyeWTYERzIklZO4MvGWZ9S+WlDFZJspZ9whsjTeNCq
Q1WpgYhAGFog7ppfqTr8UAiw0AeQ1sBSKLtzRiWcSob8kBaUjBR/vEoCqL5ul8XwS1valZ51Odpx
O02zVlR9rGgaZB3pvu1RMaRNh5GPehVpUnzcJl0zS1xjLpe+sZCsHqNLza2OFSK0jWhJakyDPLrW
FXvVRcVNxgmRJx1tbtmUjkPKOSeeE2NjUTv5pdyY39BrvnawcZi4+GOg991Rjm1mVZ/GM7dzzjnK
gUOjrIBb+pUcjV+SJr/lJnGK/d03GW3VME942LFTp6kdnumGONMwGRlz+3F04IbixVZMbbU9HaxM
eBF3xVRqQJD4COU4qMJGHCKEsezQRWDUkorzVM3vwoCOuYXHMRLXCTa+xvB9DNQLLhD8B8WVwPdi
8kWtsD9Vms2NAhcsPAd83s8lLE6LMqOwUM7LPIMg2R/KHEIqNZhGWDOU42q0OZoMqz1Ne6OcWqUl
XNcHf5I2VT5FdiXB8Ao2huPBGu9U/WuOCkojYbdX6Pm87VVjVg0rFwoL1Px6qrrechjSH43l4Zcd
Gems1kfQBXKNd3yM0l05mBMLCt4iD3NaBePSLrASVOiqTP04M6elXuE+ZqJyRHknDLOrRk5k8lCs
yIUv91gg3ZiADdPSo0Yxr/rO+1qnuTOpk+rUK+t41krUf2yKPRO7onULm7KeWQN23FacIpifgEXO
BDY/KJwvuYsiWuIVU1RpTt3O5r5RwCXgDrPEt9yb1m22tHpKf6hGBrNKcseFW8PKwRcRHpmnB3BG
GxmTnDGn/O7Blqm9G8u1WFM0zxewI9G3zfppk0YICfWjRK/dol6t6zi8d1em4uMZrQHT6RN7jtzt
WWKqC9Tca8pnzmWfVtUsllS6Lr5yLHtEdHieNbwZhIOhHVxmSLJTjSu5q0UPTdh8DRMNIzpkA3T6
ONB7VgSpi1LFn6Ps7AskcOQ5aocl3Dxs1J2h+qTl2iMm2vTGcn+hkQh0oXPRq+lNkMbhNDHG+7jA
16iSDA9nlDA8zEU9snZhymfFFWlSPMFgZBWOSBAMqns0NpxQaiyZk0oXbh9ecJP5HroyXhDPpTz6
mnbZV6TWsZ9t9WUph99SEwYwMla4wmXYqQUZAvOZ/SUspVNo1ye2k8jcQg1stfMTF0s/GgZ43IMz
gc8p3dfFQEaVnWVlEk86UP8T37Pu6hFaVORpzqLNUU+vErQtOwAuMN8c/VKNMluaFUJx+N/H4vpY
RMHsN8fiffN9S+FL/M2LQ5GbBpk/MrMIeoum8otD0YQUC30YL7DXSCjnwNQcylGWrPJPuMS8PBQd
HDEU5FBgt/+pHrombzkUoeeadJ2hRnGN4tFfHopxXdZyn/XyZc0BRasPN0vOl1MVMYOJgw72lSFO
NMAx7I0IIYYM7A7MI/2kzAzabeIsDHTHOCvF+aivT8rORFYae3S7z8/LUZrmrayj6PCgtIh7YY+A
anXjIurUHTuufRhYuTzLA++oERKgqYNUOdret11aLvTATz8Xnof+dZ4/mDDqMk6dUkHTWYeoNjG9
4iEe8E/IKj0FQdUt+rzvp96Y+emVrNlHSqjrnySN+EZzcF53sjtNOgmOiiLYuHHxaXDrpdV4D25i
d4dobMtzb8iLY7pkSLZm0nWNDtgnB5DMJDF9akdaibwGGk0zNzD1qSfRbExdDE17nUPG0R6rwLzy
jeLCrnH1zP3oLlC1z3Xm5DMpVFc58s+owXq3JRiwoKiOG7p9k2RUFtjFPMpylFJh8JERoJ0tk1Cb
6n2Seqfh6HxWAC9NjBG7r1KVP2O4jQE8X0Ltc+5gIpjC9DGWQ1Mh6GJVd1yFUBCBMUihndagLn+y
Y11BjyS4CpwWf/kEBvTJMKALMlC9kKliyFQz7DE4bUV5Qwur68akhNIbMjfVMqmmFtWQ0IzhA+Yx
xg7cUgpJ4i6WOirwKwdj7ghkFHJhQVrZl46aD0dxamMvYYbHClA0cMblSi1Ia/DE9K6kJpIRJzMe
HHoyF8Wg/ogzgyjFRVme+aHqXCDrDrkkhSPtRjCbYZlFh2mc5idelF2SDeTU+u3LTsrALJhcb7wh
Q+JF1+iYZSdNqV5wF0injYaCax0ATFOaDEMeA2Zm32J1pjTfzNz/EkVRA9wRjrTqp7NR9Zk3j8mN
0zDjEB2/WBTzFDf7ngBSajBUP9FT6Uqx8x+6j36B3x81RW9P08gsp3JdasdmXBznZnLS1wYEU+1y
UKJLXUN31IkdLqRZ+FXu3FsjQRisjhz0WyTrtqw9RCgU9czNVQjsNpIeRZEg0CbL18lQn8hdcFRE
4XUQoMDfxPfouXxHgzybKhGoj6FqL+wyamalaF9ncnpOwioDHZFOMIwFLiu7yWGDVj21NOsMrNqD
jYTMrKqHr7mmUn9QYPtUI7DFGh9RobcQYYxKi0q+6OLuuy8yL1PkYKkZFJOMtEwjOXZI00zStVDk
beDYH2q5O7RKis+SyO16keVFYYOAA3nfIDLAdDAea1LCrqA+nJAkFm6pkqSSN6LpAx2++maTUGJg
d6uQYCqIifB8YC8FspAUtBS5KA8888a2g+kewZokX8Uz4LpytG+DyGS578fTQGS3UjRIx5nIeFNS
35YUWKeK4JMS2yI3ztG8t/FuI2N2Re48iiw6sfQ5GkLNLBQZdkKqHcqk+TaXFDj01TiRMjJyuC20
20SWrpKuYxTFWS8yeJe0k/S4v8KGFjtE0nxAOU+ckX+3mASk+9fXz88rf7nNcFP81YuTVhOOHjo3
SY7MV97iAtmF/ITA+tJoEu2s50KgfKAbtJFsAF8WzrICef6zxUTJRrdEoRAFvT90HjEUQV74iWE3
QHaZpiFaVoC6bIC3bwqBaUyNMOYxLlvHjyrWGNqihrwI01Q6aWJvrnBbmBqiFey2zTF2HQpIYxWV
ydY5qY3InOZgtA69EGkWKSuOmpC0L1WCGBJ8Mg+b/MFTe1JDqmW9e4TSaSPNNKn5UqEbcz0kYXdk
lqYLEHEwuf9ZwFBR9srRDTjnwtxMDE+FmWgp32u8vGW3qRd5l5I/hwidokMQYb3dXA9Kf0U/2bwq
KKtPvahDLztOQf5TLpzEjoATN06OKAaXEsiuc7uPEDdtpIUSWu48BG+Jx0fwqKRqz92ypa1Wp2G7
MIX1tpePyExqEMEjN1UuXZUA3DcpP0OqcWGhFTTJeftROAiXlkyP2QnQtxT+wgC26XhjORxjPRxi
QdxjRVyX3B3rVF3WyG6cmsKvOKtbg/50eJ0Z1TQys9NWIjMpTQ2ZgYRsevQRRiuxQEZ6BmmqtSuy
Ld3m2CQ72CUDvbOPjWL8VHbRMAMS+FUrrIcMi+UC1ZZJiekyguyfjNr97LUoKXUEnxZ75jLXj2Xs
mo2qAyEsHJxx4raOECS5C7v4xMTkuQ9xex6wfe6F/3NTO4cBhtBG6qxy4RCt6PhmhsI1OoUkPiGs
I3UkbKWDoLMmkbCaVvGctvGejmQrmXTCjhobqR6HGiyqUaJA/bCqvpptdW+bILh0NZtH6DthCYjx
BnjDL5mG6XUi7K972/RmFY7YGV99vIb1BK1cz9MRbVcygGzq6c2nXOCAZIEIIvF70PP6rgUqlNAN
PHQ15TEXKCJf4IlSV8U6EYSRl1rtoSlQR8gqYULOcj3ihAsQahHwpEAglXJdO5YEdsmz0fvV7IyN
ALBpAOCkA3TSBOLJcTtrroRVNGtMfOxTIAGVLLJGW86nuUBNBbhum77rTKg6c7IH7BG3R/q1FXgr
VynwjAGB1QHF8lowWb7dX2qAtFTAWhgnXpqRjT9IcNionAFUP84dxkSI7yYXeC8T4FeUmF8tJ7kE
kcfVSwuHmQtILEJJAd21VZXWd2ifyOCIuZ9mYe7MK8spp5lTc1cPAXhH+bmqYjMtJbcVsLSo8M5q
XC0XCoC1QMX7EACb3nR0WgWmrez7yyRWxxNbju998G+GSeXblDvrOCysM9VJLgKwcrEAzdkCPpdF
0ShgxwHdQ8B1IOyC4wa8nQruTgF/Fwsgni0geSbYPN0yvjZldakK0J6PocqsF0A+BDAQqxPgPq6V
0YRizZGnYy6LODjGlWABO9P9OgpwIApqlRCaJfTwdyAv4C1TjMjBFbpjuSoE0BDLQcrYjrqQBQjR
F3BEh2mdtiAUVZCKdYegvybAi21Y6UiBlOYiAtkI+/xUB+kY+L41QYZUY1kXM3zh70dT++wKYyPk
8lA0RjqDhqxybYChhEImMGrplSrglQo4S9NpjmoBvCxS20WaoL0qwWS6YDNbv6KLKcCauX0SCPim
ayVXMXjO3gqkEx+EZyCgnnLdn5hgP1svBu5I6Uf44cRTM+2ieSzAoqPsn48CPopOcz+TyviHN7qf
i5zK3aDQ89QE7LT3w8cyp9OS0eORBTQVXAIlMwFX7bhOLGoQrJbA2IzFeDUIcKskYK6R4930WjBv
BP4VHCzih+2hnpcnho2dXKr4HngBYLNaZ3KxMTPj0E2Gu4R2JN4NS+o6wVEvYLc2+FuKDrcqeNwR
PWHRyJjrrX5YgthtM/s0AMEbVi5ChCwiCvkmmoLgfAdLeRjB/RoeMbsHCYzfz7xQyhUwzvMapDBy
QnNLQIerAS1/sMSZnc7cCLBAD8oY2P3CAnUse/Wh3rIIZOKRgCXTzrBnWDfH036wPudgl8n2VlFN
oAw0M5tDJFmwuftJDeJZAT8/6SvnsnSAJKmgomPWLaUxbJwsgeZpVa4nePOUKN/QXh6zI3nwlpyd
5TwL/AYJiwFBYU0zL21bspEehqxRVuVdECk3RtrE02x0bhWrvsc8HeIDcWFSUZybxBZaF26vgGe2
v4OA6I9Kp8T7NvtehgVMATt7rGADYM0FASD1tfECyWFj5ubFJ868807nd12OnqODcSuYAegNUjZ3
kubRNSPs76ziUfPTyzB00BOXXNxuW/dcyU0u1N6AikHmtDOvr3WUHRvy4ZoI5toGDG6ZXZYHQJsh
MWWNtxjw7JhbxEmJKlknpTdDNvpHgRR+iywU+ahPgXOBRe9GR+QRfAdue6MY2FUVLZbBo2Qd57XP
UZzq8J5IjaYQflA4lpTqUrgfeUPyAwGLbGonsIjQ6aM45p3JWoCwX53/sKUUQKDu3HdYwcylAmEo
iCXLyDcMfGClO7lo3KsS5WOieeW45zoG1H6gGxIKc6DSZO5DxUUWI2HIPTCQwWGE2IePANqcwt/Q
e/+dRxvktr/Oo7/gItBsw2qJP3tOpBWb6pMAQZFFQeJ+mUijx2tQJ6LZrjvC8/MFVks/QF8d8TWU
ekEPrSl/z4m0dkCpSjVJomUkt8Sv3mCzfofVEl2aV2k0kriCSgdiTMHRWucRXhaselny2rJMm4sR
uF9BRRb8FIj4ZNPn+yUkTJHf5evI+qmAdxVqdHgdCKzCyzdSYOoVZqjnF3JjOLdI1pK4JVY8jAtS
fNoFWp02+nHFzr9BWRvAvYn6eGhb3n2ehdjqwI04VSzRuLVKo//kD9q1NmQtYMzBs6rTNgor7Vvb
F6YNNaloW8hGlNdbJKdxypZiPETiSpkHeZ6p86yLGwhjkocCalC5KSFrcOaGPZbyrEofjFjvLiw9
jy8x9QTur+RRjAKU22sY0RH3YiHnS3jOtEu5FTK/bRxelkL5N8mRXPKdT5oirwy0gdPCO6RH/Nmi
qJ2iHWwIEWEV0D50xQAfYvfQSYCOJ8fuMBQotya0BpAhjofih2/71yPyxAoyxY3W3uBOiCePXob3
VkT7Wwi0nEtWXl4UlWGexIEDJi6B1TdS8wCbqv3QwwqOmOvLF2ldQHNusSwNYgnhY3T2oRVcVGmF
GLxqEw2DUT2qU+t2UKQ79JCKGSJg8Bbr2lOBrWkoJHmo8s5pEgZzWxdD1Oi1U6W5LfVa62emnfrX
FbQ2tJJpEDm93N/pMVojtBCpx1dRU850qQT0DzuxMGv7xJcU5eLF3nuCIb7Ud1bZZG/XsiAbcSug
/IrMM5fPl0usGEqqmwj2XyChv+RwU27GG2sC9wNr43QBjhb81xx8x7ycw8k/0Q+1ubpwp//S8IUi
9IvngHGLjg9cI4xADBl6rf2mCIw4Ydd4lZ9duKp3MsTY+EWoqE7yTgdabUXOvGhdKAKqWYKNtOVz
zyrdE4XvyIwK+CkW6hIuHnvUlb7VfeYcViolp7rOD117/GYZ6EuGLpVOd+y/FjGFTLUscMqrQm1G
dgA02idfM/x+DlXpqFMAPbs4AGCXC/TSWYwadz0KREhMUs9ENH4SOBTwknSBecEsAwJM0Sufd513
pkJwBJQPuxQ7xEmShNWMTXzRkbEcFR5qbGhS3XrUswEbnze9LVNsy4/kiIVmOQVsBzm8+f1X/DqI
PBHpZchcukMhX3PeBBFnBFeSJ255Ibf4ZBEIYj68nEKX8udGBhhSL/6V6OZ2FYUX7/nm25R6IDst
3r8XhafdGy7g/YaG5FhZCz1pzrPCpVhq0py2QBYacUVTTU+HsxEZ2gls1bMssO/kACgNlNIfLswJ
/LbQcTSvZHd8MLziW9Khc1ikRb5Rp/h/cCY/PeJWr56/zybx27VS++ds/tbt53/1j54Pve0D/ZH5
j8o6e3XKrx9sbT/023HiZY3wyiP2QppzoJqqwKWx5cUL3FqcAUba/FoCk4HxLj0oFu76vV7M0a9m
4fcf8Hr11hfp/Ti/fXhyFww1jh//8z82hsWil7XjJJDpOIDLFT7l+kVgfDUJ5DtERgu0yCat+j+e
BHK0v+fAMBxSnz/+/HzAn2sAwQVRlXQASa5fnD9vPz60IRItiITr116uBPHd/YOZoP76airIZ20K
s9rmk7LBXk2FiokoXgx42u/lHLCJ+fL+eDW8ngP7QOMDyiS9bz+8zDZY0yI2C2XzVv/Hm4Fn/7kb
niICx+vOc0A65sA2sTbr4G1EYB3Q5bMN7kX7uhA2K/Sn/dw/ORtoVID8/1VY5GwwCBwKh8SeToLA
Mey2EsCB65wLNGs2sfH9ASkfmPxap9m0p5MgHnm3SdBs4eencq+nDSZeImC8yhKYBJsGGS3QPZ0E
ZXNy77IdzAOkGAj+Okfu+vVmEsgSEP6EjiZ6fkz4HgbG3SeBfFF8z+RKv1gJglJh0/V6InXs4STs
HhOUA0tc1VVxRIjXuyxBZ5Z0jSxhE4T3bxKUnZNmAqOAsulU9N7sA1U/oMilQfd+mp593Q2bbbpL
SACaDlUVa4vNOhAJ6Nu4SAIBQG9twP2cnO3fcpA3WcwuU2GC0leoHClPd4S3UyHuUDZ9KFsIYO5n
dNz9+kBdHFKBggnJ24VAvghOEmLx3kaE3S8O6oEFpsWgr7c5G97WEhTjwGCFgIkRbI793Q3K7qkz
QoUyjoQyDNPN6816oLnCPjEBsu/r/UHZPWs0DtD4FdeHzdctrqavoiMhQdyygEPva8IkSvG7pc7i
mOTz4UhkbhbCu1xBhRNFzCCl2tO4+BSwdzkc+KKJCjiIgzwXr3f3ByZBMRREHvb1/iAQgbutBE3D
Ll02wBVs5uD9drDYLwLPL6yr9vKEfLrY7LISdFQ+VKSani9RbwsrBEasTilAsVrEa183xVNmv8tU
8HXL6OIiJriJDG+nQqX0AFmSmdD3eiqeSmC7TIV5QHmB3Mh6ulXyrb86KZgKlHrhuQgKzH5ujd2T
R+sAnDEHBVSg9evdelAPACZTZxJWZ3s5CcIMZccgySTgcawDH1mv+XdBkpWg2aqCcOfmvfbvLqXu
fLXWLDa+zmZA5fN557/aDiROcKgtsC/yZqns6XrQdr9hsx7YEroga69fb+8U1KBVh5qc42xCx96e
F7vnD86BIm4TlvV0vXoXJAFY0e/XYBLu6Xp4qg7vclKQHhjUUwSIbOvWoDEDGAyV+L2tRD8Frh0m
AR1iwiPyvcrTneJdtUE+YMvQtnm6xO1hkNy9Ei1WAjo/z9nTuyIsQVKFZgNDdl9zBiGNseNxaR6Y
1gZR+cvwaBrIcGl727AWGns7TgKnIexoqrBPpcd3V2y0nGjR4Q23r6VHUS/ccRLYDkBi0V35RfFN
IBdoUwqNxT09Hd5x7P9JxxqMCgVGNv369a7OIAxJ0JJkQ+zpJAhlgB1XAnJnouWADtr2e4Ri4aKC
IxcqO/s6CbtfpuwDIr+Yhqd7xJa8keIslWp1M0n7ekZou9eibcD64NtQ69l81HfhUaQT4n/UasVr
X1eFttmzOyROmvAPIn+k1PD3t/7qYsVtAuFXmbbm3tYhd0+caM/SoUc95CmFfrs1iA/cwHHF2Ns9
sXveRKsKMq6xdoV/tQL48ArMcWbnaYnsaYjUds8YLBqyMno05Mib19uim3rArRuKjba3C2H3w9Ig
K1JNEM5MxVPwe7UeqDchGQADStgJczDv31Xq6dvZJSyu600o/zyv+XcnBLkjan2cEft6NryTJv8n
uSMgDWqLWPusX2/DIiuBX6ITS3HhaaXs5XrQd79Q6WLji0Lzr7EcOB1pghP3HDn2cyo2y3W3rSGa
UfQtf9WkUQ4IoAoEiX29Wz4hTnaZBJCPGqxOJFA2W4NpfRUkRakFSX+gPZsUbf+C5Ds/yz+PD/So
LF3RkSbdrPkt7Rkw8xwje8uUeWeb9seTAJoBDgz5EaTg9evdBRtbT5v0kjN1T49L4UO94wXbPtA1
DCpgxGwm4d1Jsc4uEdMTDIr9DIw7Z9DUoMH7UUx6ZsqQHr2KCdSbsFU10Vbf25iwe/ZogfiWAfWZ
v8K1wJ5Dbwoayea99jAwbtLaXU4H+lLoBMAOeMoW3gVG5QAVaJDCexsY36mO/ZPACKrRBNvyi5RJ
lF9JmGDLbBqZ+5pIvxOO+OOp0AC/kyZr8q+4U+tsgcqb+YQ63r9NIYyidz4jaMtwYRLy4q/jIoET
zRQkVv9gCfwvpuhv7vHUD+LHNTUZjak1F3hDuf2X/+CZt/t+gBcMuzXf9NW//Dzkq83YGx6e+O//
Wj7iRz0LqroMHmp1fWt+8dvnW/T6nZ7+/ukjvn/zV2/2/Lmef7jAdGpZPiCyuWbEPj3oxTKB2/zf
Mf/3uHzLDxRV8eefiff+z/94/bAvvvrfj46kzup5oNd05J8f9Z8Oniwfs3LL4KyZnQefCBH/53Fe
PDi53M5jT5fxsuUrqZ7HejE+ecDu42dxU737SrmQk2l9wOBpXS7/mmZb7YPFTt75LWar+K+LrNw6
/2TMO48/j/+aZSWL53msF/NP4rvz+IclunXbBufQ33nwo3iVps/jvHjwj9iuiyb5nsWP9fvhBRVq
50c/TvJVGSzj56F+Pr3yEVv2OB22TLrgKez85KercsucC+DI7kMHqbclEAgq5s5jny2jLTFMQNU/
YOiqWm2bk4/YoGdZ9dd/p94qXm2bmY/YoufLRwLw8zy8WIgfsUXPl2WwbWo+YouKsfNsW3QXkMqd
v9bzVfqYPQTbopfgr3/A+OXD6vF5oJ/zLpDiuw+e8ezP47wY+yO26Xm2dU4+YpcyNH5Bq2HLk3/E
Tr1Y5lsWuig97TzhF6t2+T53xN33I7boZbkkBDw/5Yuv8yO26Kd4+bDNo0k0sHaelk9xk2xL7gSK
a+fBrwNSxyp43DIzgn6z8/g3y4eSK0FabzlLBc7iA94g/WuySoOtb/ARW/VmKd6gTJfl49ZApn3E
phVvMgtW3rZZ+ohdK8Y/ZAc8BNXDtvf4iO0r3uMkWxbNttNKwNI/5Ls+a4Lqr8vvQZVv+xwfsZnF
5zhf1qtt43/Efmb8evnXZFl+X27LGUQv8SNmiveYxtvf4WM2tvgUGHSMz4/7M6aKzs/uH8Ffbr0T
io7K7oP/zjh7XdbYoUxxE/zWPXXn4bN4uS17EPip3SeGxGSb3YNo4ew+eL3ERzheNtXzYC/WzIds
3d95Je467791wth5cHJ8JPbez4ugQ+888Z8bIsGWI170qT9gcApEyba6nGhN7zz874WTd533+yze
EudFMXrnB/+NQ9nvn3pbWfZvFNT7Yu2zuuO2P3tdixb/4iFeLcv/+h8AAAD//w==</cx:binary>
              </cx:geoCache>
            </cx:geography>
          </cx:layoutPr>
          <cx:valueColors>
            <cx:minColor>
              <a:schemeClr val="accent4">
                <a:lumMod val="60000"/>
                <a:lumOff val="40000"/>
              </a:schemeClr>
            </cx:minColor>
            <cx:maxColor>
              <a:schemeClr val="accent4">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85000"/>
              </a:schemeClr>
            </a:solidFill>
            <a:ln>
              <a:noFill/>
            </a:ln>
          </cx:spPr>
        </cx:plotSurface>
        <cx:series layoutId="regionMap" uniqueId="{66A548EE-57D1-4C01-B27D-646E5334085F}">
          <cx:tx>
            <cx:txData>
              <cx:f>_xlchart.v5.6</cx:f>
              <cx:v/>
            </cx:txData>
          </cx:tx>
          <cx:spPr>
            <a:ln>
              <a:solidFill>
                <a:schemeClr val="tx1"/>
              </a:solidFill>
            </a:ln>
          </cx:spPr>
          <cx:dataId val="0"/>
          <cx:layoutPr>
            <cx:geography cultureLanguage="en-US" cultureRegion="PK" attribution="Powered by Bing">
              <cx:geoCache provider="{E9337A44-BEBE-4D9F-B70C-5C5E7DAFC167}">
                <cx:binary>7H1pc9tIsu1fcfjzgxpVWKpqYnoiBuAiShYlW96/IGiJjX0r7Pj190CSPSJI+UIvmvHi8l26HR0y
mFACpzIrt8r85137j7tou5Fv2jhKin/ctX++9coy+8cffxR33jbeFGexfyfTIv2rPLtL4z/Sv/7y
77Z/3MtN4yfuH1Ql+h933kaW2/btv/6Ju7nb9F16tyn9NHlfbWX3YVtUUVn85trBS28297GfzPyi
lP5dSf58e1tuyu3b3X+mf7610yopu7dvtknpl93HLtv++XaHlL5988e//vnHi5wd/O2PTB+8tMsB
GLM3kf9XKhN/s8/dtzRK30xkcZfDvRf2JsI7Lat7PJ/Gz0zGdKGrxts3UZq4T/+uEErOcIERYpKf
r2S9iUEylZGHR97c38ttUeBJH/4/ot55u3j8f/83j303IDSsAxdL4s+3nxK/3N6/eYCzePvGL9KH
9yM7Ox2e7dPtIbz2AMTr+X8E6e0mefOu8os31z/8IjsGusYZ5dQkQufqwwdQ7oKsnpmmqhJCxS7I
/xesHcb7pRtNgP4l0hNbBVZVltsjSLY4MwjVINi6ePjwMfbkzDB0E9iPBHwyQ4cR3yWfgPMuwYmh
a6dRVWyOAi9VBdVMYjyKNjanXdGmZ6rKNVPo0OyPW9qj/p7O0WF8R/QTAB5RnBjC/46wLd4fA2J2
xlWdU25qjxLM9iGmjOrMBPbPEX4FR4chHt9gAsZjkpMDOfOTY2hp2F9CMyDFL2hpImCGMWYYTB+D
PJWjlzDeoZ8E8Q7FqSEcb+5TeQRFzc80iKhKOQDc1dAqoKVUaKr4aZztSPFkhl4AeJd+CsC7FCcG
8K2/lfIYahqGlqlq0NP6406s7eOMiyo3+eNWPTK3pvN1GOcR/QScRxQnhjOc6E29lZviKLJMhEkJ
ZewFowv+FB/MMt3c1davYuowzvu3mAD1PtGJof1R+ogCdH8/1jq0s0aZwQzzRetrCJsQmOC7WL+C
pcNIj28wAecxyYmhbKeI+wy6uyiPocH5mUq4EJrGXnCV6RnRdG4wAif6+R79Wr4O433wLhNAP0h3
YsjPttGbdYqY8BEkHBFOQ4cJNmA/fPb8K/2MqroG/2rkYL2KqcOY799iAuD7RCeG9hDyu0Jw/hix
UHamc6ANb+sFtOkZpZwgFj7S569i6jDa+7eYgPY+0YmhPY/ezFIJt+vvl23kNRgVpkGfQicC8e09
50sIAqWO+Dc+I8xfxdphzPdvMQHzfaITw/xabhL3CMpc087YACc3XwqkIJpmwNU2x1BP5+gwziP6
CSCPKE4M4VXSHUOgTQRDqUFVJCsfPyOBJvyMCGGanI9stKn8HEZ3h3oCtjvfPzFkF0jlJsfBlmnE
NAwCBB8+Y2wRBOUG/pBRLmM6R4fRHdFPwHdEcWIIw+QYHKxoc5RAGTvTEApFvPPJ3j6QkYT0Et0Y
p6xeydZhrA/dZALgh8hOD/U31hZhlOPINjfokIl+Mrv3DDFypqtUNck4ZIYX/wquXsR8fI9pkI+p
Tgzxm6hCPdYRzG5xJjSTwex+0uR7LrV6hmIUYcAL242kTOfoMNIj+gkojyhODOFltE2SowAMG8wg
giLAvetQIUYmOGGaMQqWTObkMLC75BNw3SU4MVjPq/hHGt2Xfz+yQ7ybQwvr+8jqZygCxK5Nn/bt
Xcl9DUuHId67wwSU92hODOhbb3OUWDdgRimBqXHtpRQWPdM4UTnqBndxns7RYZRH9BMwHlGcGMJX
m3tkKf9+QdbMM+QooYbZU2UYQlu7mlo9U02kM3QyKvqcztFhhEf0ExAeUZwYwqs420p/Ex0BY4po
F+WGrpHHRPS45oAYKEow4FGj8uRAePM1nB3Geu8OE9DeozkxvK+QpdzK7RGS0ZBpk6FQX1OftPYY
b1Trm4YJvT6uBXwNT4eR3rvDBKT3aE4M6cutPIZxbZxp7KFi+1Foh0j1juZGMeCQqCaoS9jdm6fy
cxjhHeoJ6O58/8SQHaIOF+kmr/xjAMzOBApKdKrTw2obYkwF1RHiPlwq9jrmDqN96AkngH6I7MSw
v9rKO5wnsqedA3vFISsEPlVTmKgAfAxv7wU+VeSmiWCEPZYQjpKR0/k6jPiIfgLYI4oTw/kSxw2P
Efwyz6CYUZCvvxDqhPo2cQ0HbsbqeypDh/HdfZ4J8O4SnBi67zbhMfLL2HphbTMV6YuHz4HzNoIY
xORs5DdP5ecwtjvUE6Dd+f7JIVsU2yNsy4iJ6DiAwcXTrqzuWdco68VlnZsjwX23mcrRS+ju0E/C
d4fi1BBOizf/Rn1ItD2GftbPVINSjf/Uz+NtGCUEVB9SlBDz4TPaht+9jrkXED9wkymwHyA7Mew/
br1NfIR4GKQbURAT0L9QXUBR+KfpyD+SR/kfwT6dr8OIj+gngD2iODGcrzYo2T+KkS2YDu9KfSr5
G0s3YDY0AhUucOV5Efdkhg7ju0s+Ad5dghNDd3ATF6jxu/OLu2OUEzBkqVSVoU7kcKkQUIZzTQyu
jYLbr2bsMNqHbzMB9cOEJ4b+sLSz9Cjn3R/Kt5HT4E9G2oHYmDB1xilM9KcasrGQT+XsMPJ7zzYB
9D2aE8N7WNQWYqEbee8fpTIQqWc0MSBce/K6xpY5YQiY6apgB6T9dYwdBv2FB5wA/QuUJ7YArrbJ
fXp3HOzFGQ5j4FQOe8pxjSWeajiew0xNGw7u7Mj6a5g6jPv+c02AfJ/o1NBOAfbfb7rpKAEUKorC
yNNRy73aIhQt6BQtEgjkfwfpqQy9gPIO+RSEdwhODN2PFep+jxE6Q1xUUwfn6rHPwaG0FhVD5a8x
gnc6R4fxHdFPAHhEcWII327uJJrVJEcp9OUoLEIvE7Qae7S/oJR3kpfIbeFsHf4gw3kguvI63g7j
feAeEzA/QHViuN9Em7vtcXqbcJheOHb1JNlj8wyY48AOilTo45oYWWnT+TqM94h+AtYjihPDGWUX
x/C5ERZF/6Ff2cu9c9LIa+HkLFaCOsJ3Kj+H0d2hnoDtzvdPDNn1Jtv8/YYXTslSgYQlMpIPKnk/
8YHQKPIeKrzuXcNrKj+Hkd2hnoDszvdPDNnP2I6ro9SBonsBug5p6ktdLQaxFdDNpjoKiL6CpcP4
jm8wAeIxyYmhvN7Wm6P0CASGJmVA+anY99AOjP6v8J1GaenpHB3GeEQ/AeIRxYkhjC7EiV9Em+oY
mUuG/LOKozXmS8UHsLPUIXfJRqL8Oq4OI33gHhPQPkB1Yoh/8NFmrPDvj+Eya2eCq4amPRWC7rvM
KClDEzJUEo1MrlcxdRjv/VtMgHuf6MTQvk2jzdGsa3hQQ3H3T794129GI19doHfg3gHZyRwdxnn0
RBNAHlGcGsJIZsz8rXsMFwrnNQhy0zizMYqKIIFBcBoLGY6nosFdO3vIIkzm6QWY924xBek9otMD
G50OrI38cZxeB/qQhh6KDV4oOhlqQQVH2Qk6dD989nB/HXsvYn/gNtPwP0B4kmvAllV/BNcap/AY
iorUnzmNseCjUAE9gVHLMDbMIfJ49VO5+h3uO/eYDPoO1akh7heh36XV3483cljoYYM4yc9m7bDL
xtu4CQPewNHLkai/gqcX0B7fYQrWY5pTQxqh0GNUEyJkpmvCRNTspZN4D1u9qeN87QjnyRy9gPIu
/RSMdylODeFhbsoxkhqoO9AoRZfnp617T3PjrCU62uCU1iikcjuZoxcQ3qWfgvAuxYkh/LHC8JT4
KGMXcBCPo3AIGL7gdKnogkAJ4XSkrV/D02GU9+4wAec9mhND+lv14xjpjaGCiOAQPDJTD5+9MzsY
gYTzOhznpnd19VR+DiO8Qz0B3Z3v/w9A9vcs7jzwMNTu3z/f7YGReg8T2l51khJlQKYJr+qw3A5u
FcHeDNwPuVVoh/9rwN5jHdEhng6j+px25xkfH/H3L+U4s+lenlv3a+bfbFNu5g8DDQ+NUDx49eHx
MXtxdPGp8OrAC/uVG1zd//kWmUTNUIdCLcxKfER2uNFO2dZwgPznotil2aLrzZ9vFYKwiImmQ8Iw
GUf9n4At1WwfL1Gc50CPZh19qGBsmwy/PUGDcA/DDA10xRg6OA/ta+B7D/1NirR6uKSjblwQrmKS
Dobt4LzHrxGTN2nUuWny6409/fwmqeKb1E/K4s+3DE+TPX5tYNdQDRzmHcwDmPvqENhRcf1u82E4
xok38H8YyVyVeH25ZgUrrLD2pWtxj0YzlutiyWq+KRy3WeSZ4c1J1we6chEXvOrEjPk0+OZTUjnX
npNW+UrHaMDYDqqgUeeZYlTsJtOlbG6SJltnWuh/VGRDheVpPVsERV+855EXfNcio3/fJZ27zFSH
krkrmtTprCSN/BnVe29R5kXhznKjldVKd5Q40OakZFHxLfbMoM2sNupp28+0yiz8YkGT1icXcdz0
6a3bd6Gy9HMnoPMydeVSaK4681niLtu6NGcybYKlEnb5vMkdsqxDk8ybNu+XamjKz33tVeQ8FJ3Z
z7Wi6txZR0XfzqNKM/OrjDlKP0/0TClWatabV1VXeOkso6l565umDKyEZcHcTLpiSTIvLG9DLZJi
bupZdN1S06PLnOHnzi3Sr32ji8DKcjcMpNV6KVvlEdpYzZ9PhdwB/y7NOum73tOI0V8//utjGuO/
hzGR//nHYXH/56flNh3GqxXjLw0i+utb/xk1OYjEr7mTI0HbnRj6mouvElEVi/ZlEf13NAx72hfS
geqXkGLyjY4RdBhuhAwkHaoHngmpylA1ggmDEBOIyn+ElKNFID7IbhgPUgr5/SmkGJVEcYAWcVKc
4YGIk9cIKZzvsZRyStEmRzNRWahTMrRGeS6lrmRNEGg8ulZI/g2TTxurr6IfpDNWEYkTKzB7u5DV
nBmxpdZs0WvuO9Hl64bHruU0cb6K/Ty2KlexJavowjXUhZpqt41f0zlnaWXXbvdOLZ2ZqaSZ5ZPy
s89pZkckeucZeWTXijyPwmITm61rVUS/d6hf2JkSu7ZrtJctr+/DiuQ2D9Vupmra3OxqwyJd0s/V
SolmMjbaGeVVabNKVLbeqaZdpkm3SNLuhnaGMaNudFm1hmZ1bvlVa8t2ViTdfaqaF7CJslneJpnl
1kVoxa5mGV5fQb7ETS/Il9rpXSvgfmh5ntJYESvxoxn4du9m1Ipj17GYs9LcctGx1LHyvPAt2rSf
e8+9KllymTnZJSRdt9LOl1ZM6YfGD2e168bzMKFXDqEfnS4qFzUsfAtlg7VVFnVpZaHCLV3XzmOt
822HZ1+4IRXbVDu3cm2jzn33tqRB9l3Nm89drzeXJS+uM60slhFpIivI5ffWrVd+Ei7jrDEtvTJS
S2+61Ko0h1qew688l37W8kKzKr+5VtA0Zx6GVT+jRu/Oe+Fzy5VCWSpp9UFTvHsjctJlE7o2qcLw
MjU3ZbvJRLfQM3NTdFq6rKS6xIxHdy6zJk4/C+Ilt5EaZeHWd/v7pvU+9JpazlmVpcwKpcf5RpJg
7WB9r9QyUc/bkqbXVDriWo+d4qITjq2Lap40zDzHtNvAUj3Vtz1ddGst6Jlv+WncLCODfWmSBhtG
7F1pbbrN+5qeq6krckua3Out/9VzD6bI0Gn0ZT33K8Gyr+oeWpT+tEfMM3Xoijc0v8TpMwJV8lPV
wVQxhMGFxg2BUY1DhuenPaKdwVSAckSmFq3JH6yYn6puOIyIfL0QKs4sGcQwX6XqYL7sGiRoG6Th
ZDMKAODS4vjycP2ZQeIHgVd4Uald4QBk7NlGmJduaVemEV7Eftxk1CZ1z2Rt6WpG25mXdP1tlToz
10vcd1oVsE3oJbZW5rar5t8DFhFy05Aig1Kouyy3ijoR13Fa9heuVkX+Ki87+hHdMBRjRQpVKpYQ
SnkdO5pzEXYmxIGGYUBufSYi/bJ3+6i4E4lrNldSy6TxPoujZW0m0daBxM/SxK8iu9J5FSzVgJOF
yLlffyjzrlzpES0Uq++9sJ87ald973VWhRbLPfWSVsK5lHkeCDtJGm/utSK3ZS7LeaV2/qVRdvo7
x+mzygqEI1C5kXjC0nOn6ZdokdjbYeJVNx41Nl2XfGehexeYejxHA/rYzkxjm5Xx1hQpKa06zvX7
pvRtriY2zd1mlfSqsShDpfremK5p1VT1fbuBNre5aAIL47f5F6L42UyEjXPX+mZ9XmgJXXmK471T
Qhqfh0SyNcurdtVnWb7UjTq1Zd2XVhwmrW3wzLNgu/WWqJ0rgJvNzJLbRVM4M17Gl7wSqW04kl1h
G+hXoR55lk9FZOnCW7Jh25IuDS2t4wGGKlWJxZJwlnGx5bqnLHndn0dEXGuBby47pyktpYhDy3Wk
bhV6+1X3dGcWNn1tMdNYpkS0mOHb2qUnm3WIbcZWPa+1RYTtSSLrOQ+UjF6rbhjeKo2hfUhMM9kG
qi4v4txPvgS1Lm3fz++Trg4u/1drPWotSPDvtdZ/jrcdUF2g/mWl4QydhgKDoYZAe9A0z1UXhipg
ZAaKtBlay8GA+6m6DIxbEKgcNBhOWO26UtoZZ3CwYKahiyQWwOtU1zBteseXGlrLIjHC0CMcuhIH
RXZVl2gNJcPBH2+thJzOjDou57zvtJVZd/n3WmpdbJV5KaVldgpjthv2sNecJi+CT10QBnPRm7W6
TiTVZ0meua1qmUyt37cNT7sNLBQivZkL/6SicHrqgGZWrnGutTPN7J3cChnJ+xXSdNItlmWmRN4t
L2EqSqN04I4oTDUtKLDgY5xG9Se9dANqRzDYbj3CY9hE0LyLLIvmfVpGxXnn+ZkVwYv7nJBaqawu
KOvPWSx4a2lG1ne2nvQkspUiT+xQy/iNFtbZNy3Og2+KkRnnUO4wxEgdOddMJS63Ih74V32R88qO
nR6WI/dNxxYpXSWuGtuxFlRXqsLiNTOT+kMMF2kuq5DqNhy2+rxSHMOuopx/p0nc9rYoRdpbtazM
1mLcN5gdkIh9UAhPe7svY/88kqy/i6mizTxX74rE7tTckHRRCSPIHEvXqjBd8Vorl4YEIMXMb5X6
W+lLQuZh7dRzPSCVl8wD4Tm9Oe9p3deZ1TVa34tz4XJ8rcuku2Rq2b8vZA1XViTFewFHehFEiAhY
UaF7H7FlrYVWZM1N+uATJ4pbq3O3UNPYdh/8Zu/Bh+aDOx1GBf3YiiqqXMuswsBqEtWPzlUtKZml
8MwJVjmRQXsRM19vtmbD3S08ELasSs1ZRL6X5pYvqGcVStFZsSLZLOR+8dXTSCavc0URtgnF/P+j
5nquegxUsPxOaT0PoD0G3x6CKQ9UO8oKDVpUzFwzMPEDN/xpZ1GUVAxVrtBWHAHAYUrXk7LSkUon
w/kE9dHZHCbAPLez0PEFTQMg00MI6FV21lhXIe6DtBAauaFYS0MbP5iWz82sstfSLK+qdp00mpjX
jeNlVqoFLLRD1tTvTcXoLoK2TsK5qobltzLV60+hXrQwoESSf3n29g5EoYauYTuaE9zg6PNgXurD
nPBhDuVzbvSky0LhVfWa5glZQzEmjlWx1PRsBGpSYdWNXn1jdab4low5bLs8kCFc275gOuwUltyL
slSvcQ+vmtEoIp96Q+Fk2ZmGsyWdQtrF7zmmYzN14BiNTNFpCRsLGoqP4ma6zzxg25VrrTVcd2a2
ffSpxsalLUrWpYZVdy0JEGtyuNUzs/OtLlS1ZVzLjsxknZb3XlsUxPaVzJgVpZ/Cq4w9FWaKNEJ3
7qaBdxNWArE24RUzJAXE58LLL8OoMdq5XyjmlS+9Ol7+/qn2YcARJxWBBgwKRC3Xw0M/s71Zp7iN
kkXFOikd8TmFjqOWHlIsjSyp2pumleI2c0j09fe/dlhrz2OQ6FKEeZRMQ4ADLU+oNrD17Ncaauvq
WeEm64T3ZE1Cr1onBQwt7niff/+bxnGU4TcJzOhgaICFuAEfrbMs0bs+l1665pmqb/ImldHSKXlH
rTDz5mpeRb2tqR1P7UAzmvi/WzTDoth9UCwUjH7SMVUXxsL416Nw0vfcJPZhLYfGJg4qYxNGAw9G
HxdzU6ap1amAftlEeUOtPEzZtoxEsWoEHIDW1KRqa02QhnbAkviTJjOK3Y133TZT6mymKn3MbEOk
ujw3YBNUj4r+MbR9SEz3gUKOCWoDlV4UAwh16LTnQKlmZSSG4ShXCPrGG1+WBXZ4JSwTHfZ5l7gX
jeeHP1wusndtn3sLM9Vb36akZn+VrO9Tu/NcZutpUG99qbH72sg8dvF7iPW9YNmjB4kTnMNUPEjn
EPJ+tpxMyX1VevAgAz3PHMFnpfD6JUJKmliUdVXZss3V93XcGRVCRh6zJUmWBZXZMtLhXoZRHn/I
IiOGYRE17pcmiNNVV5QI+Rh59sksQj5z8sSxqzQIEOIotaCxnKBI1g2Cwdhke23uugQBXaV3ktim
tRefG2YZfaCBe+N2idZaUcXydenkH0saw0Axa4oX6XcUukGv+t5SGx68izyDf3PUSr/wEBd817tt
LexG9fTYxqLzVwqXsCibjvcz0hjKrA/au6zIy9sKZpRnNXHJFk6RD1FzSj/mHmnCpcMU4lvwQZ0f
aA8IL9pPcuV7FbN4lmUFXYVpkq1ILqJ7v85MyL0Wh7e+cFpm1bnuXkhHVnaH97AkOhXXeRO3c72R
+YKQltRzhHqIa9eNy3O7pp4zjwtNzqpMIEWgIPZOSFqeY6uhjZ2ogWlxBPK/trHqXVIpsltDK41l
JQKFLgoz7jfcTOW8UNugX9QhdxdK26obWkTNX4WbZYbd01JFINCltbtoyyCFcDQNQup1xRcydbwZ
4gjxeYKvWlDnMsWLjmtmBUUQKDZzGmax1Gh7Sy8jByEDJYmX0gznrl516vsGrsjML6SKWB1WUrnQ
ykYUy1Zj7Tsz7PvIeV81eRnHVudHXSLvPcejtP9WNErLYs8SEqo8vaNdHJSahNtZVZm6LsMyDtsL
4SPNUIuqdFax9GFpBzRKb1WmaKug07TKroCBY3W5Co+192LOZ4njYD8so7DJ52bYuKoto5Ig+ZKr
JkvPw4413qxrI1G+M4tSw4pqnJQUjV1hL1yYihc41zWCL6Zr5zzjWHBaWMSLJPIlTNUcm5czb2vf
tBUHSUvD6hw10eFyO3Fse6JqnEUTsSieFw6sgoWRuHFv896AxkxoqMOo96QSWXWBjMZN4StxPE9d
n/+lVDXz1Zma0nLpIzDC14biuM5ForGSGYGdtEXed+cFqs2kN89cj8Vzp6j7fCFkkfiLLjLj7lwt
ijizDdpFvs1ao4uW0s99xQas9IuSxT2Z4QhCGM/wV1Wuo0BVCrzyBD57HIt4pUlRRvPQK80PPWxl
bREoKSWXXuMVDCEFj3rl0pF1ltxiM9YuAren4aLKwMEc3pDbzzlpe2HzoMuaq5h3WNoKREXOHEKq
C6kZRjRzHc2tZnBWAKfPCtgnSR9o/TYKUYY142AgnsEH9PIVUX393PVZaNqILuXazE99Z9ZXTmhY
SiMzcRM4TaDbmp8HvRVnQa9cqk6kL0jmuAbYRUgc2TivT1eeTxp3Hgrda6zhexYRvkiwfFwtt9vG
V3qrbH3lu8Ssw06xfMgRXZM+8Xvf4rWuaB+7qKHV2kSkOJ0lIi+vjCrBluQWLASBiJEBWTi+R5Jv
8PcS7yLv4qhdFI3R+5dw8cqPeoDAk9E6sWNxgsW7qJKWafPC7H0wX5EgnkVaHhY2b5y5T/z8W9Q0
sCwCN6hvC8NsfmTS085r1rjOnIdwra2EO7iPEaVBu0hkTdZ9m2n6+6I0yEdSKvhGYyoFt0vSsXZe
0zjwz2VLKcJZzC3ota8w8TlR82FxBkFeLJEv9IqbttMRekJAHth4TQLG0gJK9xI7mPiscRWrO4aW
lDO0OG7TVVkIh94E8ELDD5QnQl+1etBUV2VbDsan17U3RqiY7TxtYvzqNO0RZ2ppXA4ZRDY8/MB6
A/0EvrKYrHUjwVNUuYFX5YVpCDc2rCE6WeSG/vtEMoi8rGAVuLgGnUrLxLvOid7JxNIyTwXcjWyr
q1jxssLy1SpvF+0QDZl3dU4HpQFhsvFEUCAt/G/YyWUSf3YwW/aC1z4SBtxDQNVuO9fcNIkGNloZ
dB+0slWLSxdmbnCZZkkY3HLsFssiUck6F27+DXPPzNzydM+nFyl3RXXpeKlbzzrJcuSiWKctM4rX
aqss7+7CKDRu2gou7nmudnX4pTFjtziPkbz9q+vFoEP8PPJm8AO4Nvdp5xWLzIzFF0V14gUcZje3
mA4118nG++CnZXEp4jAwZgaV1IXaM3RsRx4Vn2Wg1O48ognEpFccTaz0JCX5NoZC7i4w4wmy0Qwa
ex4YCt5oCx9+jk2myS+JrKhpOyIqa+y0Wq3C9M6D71LU4qPSwUy/6EUpyX2JPFRhxcjzI1fTUNyq
jZEwt/XGNd1VBlgaWwmFuejTui6v2o5Ft0Fd5BZnxbket7Vx3jcmwAlVUvTLLArT9CoxW/2dUqp6
OvfyJK4v3a7JPJsbRex9hCVS3KsigRqB6ixqK/QQLbVEU/Mcu0CX30ZuTvyvJO01Xls9LLDuU1Zq
isDNCkfOPaaE7oXiZM0Pz1WV2o5YYYYrX6jkfVsoTr+UFbJgc7+vsEh9WgbaTRtGvbGOzSyKrDyr
VfNKJ57e2h2sm2LeeBlQa3jiu5bsGaJFvCiiOWm1Vs7qiHK57DnSOlaoty6bdU6nFraTFWb+pTE6
8jHwJNYadjrxGWs9Lm4SkRAoWJqJYMGRyG+stvqGBGHDiRWGNftk0CRvZo3hlvqV7kS8/pA7hZDY
3LGi55mvAU04Dl37ztfKMH3HZOZpN7RVI3PltKnAc7Wt4l6FUsmaWVw40BmwxqryKooc8C9F6C4K
j4ferGlVddXlOuS+M01krXTHY1cPVulT2cqT7fxYePE8R/48ZT4l937l38m0SP8qx8n3nRv9z8vQ
G3C0Xo4Bf0QbTb/snkdgHmtvBrKf8ZShHaKOkcc6IgSYhz1ERn7FUzSUsWqPIWEKn+VnMIWcId47
dN1Cah8JqqGM+WcwBdP9kMpCJAWWDE4u4LDpzxKfHSxRO3TAL0K8cuTYYc4nRsbBs4RlhEJLY4gW
PHM5YDi2JhLL8U1CMl2/KmjlwOOvfDU24BkNVS9tW9eIgbLsLq/j733ae8tWSW51ZFEsjf3oamR9
sso9l9CAOQoarJLDpKh0tlZLJNaVoIqsNGt1y0lFPTPczlvQzIQDk7lrRXFCu6690g6c9LroynvF
DDPLEM096lOgYtLCrgSctJT7l63eR5Ymgisly2+kmhqzFBU5a1hG9ax0cI118l5JyxQ7kfxR++Wi
j8NuieD7D6UlC68picVa95yxcp30IcLOoedYRt58a7jyKSq7yA5CcqsZ5VcXScil4ApfEhhn1y7O
M8wR9yqtyggl7Bd3w1ifLgujri0u5Hvfp9epnkeW19NbxMmw41T++5aqF7FqbPUyXmqy2RS6f6nT
LrSlotgtp5cw7fBtcR6r8mul+au0rcxZErpf08L8KoIfWpPO0BH9rhDiTtLiWvb+FyNt70KdxzOE
JPoZRqvfKGAWofLmPPZ8xQrgDGBHqdxFF/q3ha+tq0xZ91ru2IHqU6ujEcoQch6vAgJdb5ASDpeq
3yhGE11CCbuWocCzdFtyGXimuwyUylzkbnTl5ZU650ULP1K5oE0uLcHKC57WSJ6L+DrrdGF3Yc5X
MkvosisbpLiCdCb9yrOzLuLLkHlyFqhxPTdrp50bFVUtEuEq6+i5dJvPDmeIBFc3plpdq2mC3UkR
+VLqiQ0DCSUDYbiihhtabdm4qDfoO8tU5SpWDGlLqjhLCJpjN2l9CcNi7QEKfFP+CBT5wayNG/gd
KzdgrW3SYKkH6ae41M8FaRMr7M1PZZBbaux+LtJyi1obxQ57mlpGZepwH4W34FX/Nfkv9s5sSW4b
69avcl4ADoIESfCySeZc86Aq6YZRJak4gARAAByf/l9Uty23u30iHHH+i47Tdw6XUsrKJIC91/rW
RtPrvPT1uYj1CxkGm7d2eiaJ0xleCvuhJf0uGMXjQvxlB8xGp2gbPzpLuqxW+potya1gS5m6ZfZT
rqarYR6n3cxndRtP8BVIY3jeqNrPCpEcJ/RdqQjM/OYK3eSe1UUeGDixgWheBpHHbf0cONriCazj
HdZaztg4ZOhM3UFaJ9MQBflxpj46ROVdtvqfSbLmKDmDfCXkHlZgtVtkv+ax393U0pfpQuYoq4PA
ZHO5bsfRm4DksD1rjyw4k+VDePA1SWkeVGx3wTI3OXSIHWfqE3q5D496oMFi9mFW73Nikytvam/0
sjyiYIrT0JIKfE01p0vXP1SDfWvZ2qX1coL1cWZD0kLQgHeEZ6/BMc0yw5cP35ovJRkuk3L3rSbX
bmzEHshgvor5OkjGOaPeKNJQQnZqBuGlQ1KNmXHuA5BPl7bz5OftHL/VoFZg3HupVUSkvoIeDHsq
OrsB9IeF5pq1DXvFrtvD5DI2Hdvoq6OcpWCa6hwb8sUSM6O5GIZ9tY5nVwRj5pvyIarmt6YOy1Qz
wTbmr0Uv6GhmWX+Muijvq3qFbTs/urBHcdvIXTtXU96L2t9JGRosOoUlwaPr1tTNTs3FjWoDmbGh
mLOYlI9FwW6VTh6Tgh2DeeFZJDczeGkfCq1vINj0+9Lx9tVMFjjPNF4RYGFwnLaFHTYv8BZdGo0T
Ot9kYlnpV++zVFE6sHo/TvKMDf1hYWpExduBXfKHe81GP62BNo2gxw4AYyCM2IClYaSeCi7PVRGx
TPTtla3G+zpkEg4c7MA6sFAlDN3JssVrx/ExjBp+XOXwblUzpIk2RepLv8qipidZuZIPAGg4LypT
H3hC7tHovUcB1nbfxjxjHSdZO5doRotV3nh9wlKj+ldYfkUG5bNNu2WO0sCfVFpxj+YKe3aopbdv
as/tW6feh6R+URoP0lTI/eJKk1J85SmOO5NNQSDQYHrlHuwcPlPoB6cgmOCPMegiFRNYNGGLT2l8
rhZxP+FMzFzDFT4Y26Rw3MusJQseNx6LfIAwk/J2rK80WadcsOZ6IYGCRRpPoDmmKSUiegYMcUA3
+y1U4V1T6u8zLD94/c1rFLk6nQzBozfIK4iY/U0crtc4/6HkxfLoUXpyrTbAz/xhJ7inXvu2aU92
7Z8DHwu/lcELWdgtmIdvU9/uk6J5xmHvXerIyhTn/8nW5S2YhKdkFceA2Amt+LipeQr+KJuOBfi1
eGsX1MgmvJVwzOF5fK1nRfLOKAgvSq/7RfEHWnT9LgwrBo1gljutUZICMCtOnlneIoKHwVWjvxeC
P80yFikvyLkuyzfTxHkpCIiKRh9Ur/D6WN8pMdJUJV65IzT8qpuZ7QdXo2urIXb10Z03RJ8Uiw6F
bufjWgYfjTfF2GPpkPo+VBc+S4i1cTukDvJm6qkFj18DXASaZJL2K/0c2fEmYaLerRpfrCHYtasl
KPMmXqYsIs2bB1RO1BMEqrposn7Ul3ps8VE7cwD8htY0gNYzeOLYlOAvah7gvHPgOnq/kJlqTLtD
yPhbVZI57Xlp9iO89kx145grb8nQDm+7avTS8ZKmZQkvuOvJEyiOZ5MkKpV1kqmpvRosDdNy4C4D
VtuDH64eXRT3u6J1p6EcbNZ5yTOTw13ZTkkWWDftOk2GrI+wnoLR7ecStKIv5ImgctoscS+bfPuu
y+5u9nGe49PCEdIc+8ibsrWvv096zIiOPiKPPJEAUmzcxWMmEvERo5eDF+V/HRdzgVM0pUscfrVj
fIAFbnJZ0nMhA5kn68iyORIvZdfZrJ+Nn/EhyhrS7cvi3ePlFQoDlnJGVEqH5qxDQzM9NM2NX6tT
0YN04Vx8LuG6p93UPFHDZaoH8hB3SZT6EK9ZMr3MqLnSqFp16rSSu94FJXRc2Myd6PHrsB4t3WTY
Til24b264xwgoojBfmLdfWBwD8jSCc1vKYK9Nw6vesTSrQy9b0tpMjwL10FUu50MQTAPQj9GNb4j
qMEByssZ+7SR1zMzcm8idqbcfW26xWa0di/9XGEPGrznta3P89I++Yx0+WSxpcbe+ziuePghVaSJ
i6ccKasrbc1eejNPPYjy2A49hae2+Z6gNq7GqEr1LL+vnUH7LhsAkuvJ9+UrsLLcxc2zHrXILKo8
iFuoM3s8mVUyxQfQ5niTQ3zwZvMRVSjpYjWDZkDNNzaw6drmdYjlqSiKvBLyreDivXHDLWM9qDRH
87Kb99BFcVIG/XHp44e5ors53PDbXj3ONjlqlpwSqPS919zBfc2Wmi7pEoD1KtpdbcYrA8VpqAHd
ht7on21Dl6wvY1/ct3KNXhdVR/ymJ+GI/xE6De2FR9kQavJ3/+T/daf6n9eDbkNH/rwH/ftAkH9t
QX+MKnn7R14DISuMGaPwfT0/DODA/2xB0Z16EQe0iCnOP8z5X7tQxGy3P7oBQRwDzJAA+dmF8l+8
YLuhhcKBh/nH/lKUA9cn/rELhX++0Uxe4IdYkR5+4d93oWhnGthH/nLLcUjfxc3SPdRUx6+qZf55
mYT4vCA5sedu9K6nBQwM1LAqp+G4foqTyT1CYGwP60rrC2DBYhcTZ3ay7nE+9N5N21bJ9RjQ4gr0
hLkHO4fXjwAZ8mF1fOehOT0SnpxnfwUj4Cp3pAh9fK3hIhwaORW5t6xgkbSdv3RVVZ5VD/CXEdfk
vvSW1HKuM8hunxK/z6o2eFuKLj4PUAj3TpHpIoVKdghszNnsgB3PLdz+YAArXQsBF6AH/V2HR1wq
6nAQBs6kXrM6tAdN810vdGL3kI3yfl3Lj7jRn6sZUvNajFkt9LlRUPZRUaIvWpMpcyz270pavnpi
OddDYABQy/tQ9d4OFRE5uKhcz2s5BOeq8uJdG7QXSnp7qh1LcuCE7CBaySBK+8Uxomj6UdWKcw/G
G737eL+aBttza1EUkXBNSQjoUKCC8cvkBqazADmAT4cMBMrnpIO8qym9tdbnOQwefeorex785kuv
4zntWvQnoOKaHS31uSr71WXgUKsdmajJWyK8fRHRI0I7ODxNmc3heOicgK+0DvptVGVzPTv2nQjl
YV8qVdqFHs8n2WaiKR+jIL7vYuD2Yp4P/th+8pvJJVcsQZll/PZ27Omd8vknD1ZB1qLx1sQ7zL6D
QdGHu0Lj34k2HaIdWXltbagzmNYXG9DvYagGOHzT41iBcbL+COoEZhNgfe82LpOj7NRhDMKrZk6u
9eQdKjr46AtLmkVFdLcUzX4t69turVGSu26fMOyza7hch4vOweU/Y0RNm68zu0QFTjj4Kl8630AH
QI2XVPzrHKuDCpfnPhEopAoNYURbsHkSXt0NnHnIJYhiDF8ZX01Gg9BU+0LNV8kkNVZFV4srGvVm
2JoHddZJEeQxNfNViRbn9L8iG/7nbcbblex/vhlvUzL/dSv+cY37r1sxQKmIYhggbinEIGb/dxQ7
hEKgOXjq0SbHCMtgl/wVBeW/gBDFPgzUBHvuj8Ddr4Ig/wXJmgQ/wXXjP8D4vyII4k7Mf7MVg5/5
MTIFyboNwP/9VmzQHIGD9tdbuOpdCiMHXdf2tGk8drTpDwUeQ7Y9j4Ue3j08oPWWrPHwyNqwaNHW
kudk7HNve6hXsOshHnMfVWzq4cGP6na/FPzO21ZEva2NHotEYLFMWDQKiwcWzXFo/NtmW1U8WiGW
laiGHJZctK09h0VIInlBo64zWFDldbytVLKtWY7Fu2yruMdy7rCsvXCKM42FHuvgzmLhh9sOMBg5
JlcBtgURLYdiFojuhMl9i42jhBEkt51kCRuVli12lwXbzLTtN+u288gfexA2o3XblQLkZQi2qW7b
r6BawFRtoYa6BNtt5mNjGwBk73w9yXRASioXVY+CLARb376XQ527BW9dj/Yw9KYWmWLNYV7jeR97
1V5N4mik3M2lS7LeVuArWnryF3UJPNSblIQowhcYu8bTkIviqwn2TJZM0SMclmi/cOMyIkf8Folh
txzmgpwGL8WJEUGICdsTj5ObSARZIKXLrCu+2JI/NRATTzUJjmwpvnvMk2kHK4UnUZfbELSIr+Sc
EsaOqiosMJ/Oe1p4gr5/Dk+dlHPOSv1AaXucMW0tg2VH0efD2VO1LU7RBK+Ketg4dZNAw7HDbq3q
ZdfDIE5x1HwFziIzbM5j5sjqPyQ9BYMWih1wkvpAkPbMiaMeVAsvEWm7+N21iAp5inAeHUuOvmYi
XJw0D/M5ZhAtGAtSlBvNwaGV74/Glqp45FB7zzSqvpVIjO04lLbzqqs6o605mb58gp+PM9j5R0a0
yzoX7Ww1hLuRy5yPUl0kNzgTug81S5Oydbp48/iq7RKnsI0/DX7fpHWQBNlY6NfRcm8X2/UKxvIV
zohN0mruUXWMmVLlwU3htVw5lgT55CbqwZpbj6Cj8a5Ldhvb8jBwug9rnLuWCZUmwh6a2L9qI4jc
XuK+rBpkhCeek7nqcQQWp9Lvw8O4OKRZaV/vTKPsvq7kW+IJZLKgOrclaLEkuZZtcnRb3mGKybe6
qJ8VWRA8IWUFoMP7FtT6Ewz3nJTtkhrkcN9GE6JHJ59HtulKjiMP1Y8ZXSJxHwn2BXX9xdL4W7za
yxLqm5WyS1mvyDKo8HZWyr+Wpju0MLZ3Oo4ucN8yYxovJX71MJZgYTAz6IsfPwmyYwu/6LreJ2Nj
4VXXJpOaPNVjTFMn2ntexyTzlfmsiXtooqHIIGreVWGhMihdeYCCrYOORkh0XC20ISDkfeYZm2RG
LOlWC8ZJcopHcYtUFxIv+Nb9yV5GWAMH0a1fkgjdtINCFPEjsOsmbUlTZm7sr4ZpPSW6fvdD7aXA
J3LeTUmq6+bRteF7Yqo+H2ZbpbKPP5XEyYx2BRYx2sg0qNyu67EXpsnazvCntwP7vyfujxjGRqj+
+Yn76/VO/+bU/eeYbADVMw5wjKLT2VqZ3zw4jBlJQiTHtiOXxz9duAADSkAzU9x3xeAv4F7Zn/0P
JgbiSiSAvxgfh6o6+kv5i2CLrunf45X4F7ZLGWC/BRiI4tM/MLmNQRwpXv3qtvNWVlxXOMS+zNSr
+CnEGVACwJ/C8zr00ZeoArR2TIhE3zDNZPoMU9t+SiqmHpOkDlfgn8Ok9oGM3YsNBlpAwGrjXVTh
PGM1+TT70K+g7bOs9X2R+XMEwUQehpLeDmP0hOX+NpXrGwg4Bh/6IbIcUFPkHfy2q2/9JYalISLQ
VkU+EAO8D6IJ/KAyK81ooXQub6I3Y9ZPZsKRV9rUUpzjy8pbtDp830qIjkTGHM4KiIfSGADSxVF3
0QMbw4eujmgugFcuxXyzclPmyUjfetk/6sD/UvEmSFVhpr2UkJNLf10PvEZQTI2qznDrM3aD+Grk
9tXvxF4g2nYF6fIyVGJI+wJtCLPYQpiBDAxSg2d6FQ9jr597turrAGhzukpGsdvhiDMQedKJjej7
WqjqLpgBdEPXvsLEq90a61dotGNmqafzwTPfV2sWoExzC4NsOLYWGbqkO1Lhch3HzX5BeoExN6fc
R4pDOehPDT4DRPehDo88PNYS/8XGGUhgoj7JSnyLE3GPnFjOdfsVXPFTpLDtOtcgTYdtvtbkvtbw
G8cwrrKiQzq4HKKrMogDEJbsoYqiJ2Y6qEhh/C1S8oIwz4NeuJcKj7e5lHGMukM1qSrni6xp5rwJ
uUQlD20NHdMHypk5OqZDLz81kW3zKJrqPZ3rXaTdowT5lJGp0Gnl8T3r4/Fm4OjB4sVylxp2ciLq
PvEtOW3EcL+OI0oOhIvkitQgarMgb5bhGanb92KcwmNUoSMJmbePDX9BefwaFyWcFfrWdmWdAs5M
B298IAvf98V620LKtbUPiRtS6KJuYHldtYm4W5cIpWgCLFCsdG/muk9ZIhxGHCwXOMRzSsPmSvkK
m7bBGyf8BagpSUHU4Ohv5iIjpt6LSdyEursNEnPB6Kk7nN996kbQpmXM9iTovzBC8ir0YR62CLqo
+KzH6HappyCV0XAhSbEvx17lCBk/8SZ+j8h8baLhu190T9bFJ9ySetWMgp68KkaQHIR0Fip8D0XT
fUO4GktsLeOUz+2Qaxnd4pePUjdVr70JG5RO3a1f0Ls+ZHt0gO9wzzMO8RxavoASGXR3blD8SgbV
Je6cfKmixKBMav2UeLK9kHYAiFgtfVp4UZTFXfc2FYXYwfi+p7Z4bYlasiDwTVolcEb5etVKdz1Q
kbUD+wwS6g3F93kN8Y9O/n2j67wtklOl3a1tvQPI8WMARmhfF+31EMI3lYzDdREyZz7oQGy0KLOr
M8jR4FJTI+/tLBDFnkcKP3CVIwLswZon4PiOtOEvGErVpqUCsZT2dWP3feu5Q2fx7kupMK5iZv5G
xZ2JV9ObCgsLcHQd3sq4W9NwxCyQyMXzy9rL8gG5qPbSsCY8OHwEu6kl7ZHGZEm1pnGQljC9vXSM
XHV0JCBN6lf4pxft0T1pCvH/ZeYIB9jP+NA/xs3g5PzzY3q7E/3fv+Z3mAxuJaIRg6mKYErwe40y
+AXBbR93UwHtjvAnfjbGGH+BLMd2tOOHSCzhTfxsjME8ISlOYyRCEBtP/lJjHPwxgYGblUIMSYAW
it8Xtx1uP/8dKZPAaAu8Xoa3YmzLCym7vnicZyHh8vq1OExbs7FsbUeP/qOs2/bETDhl4dacCGzR
p25rWKYfvUvTcm8/b84zA0mcBh294iHa3KnBIAdRyjNJmvA63rKR0Av3gBBhDjmxT1b+PQSjB6lt
KnMYw2uXRVV5kfN0aWS7J3zcMsjN8OBGe/LHOfrSzgm6h6ZKdhNtUICr4xrow+SXDz2VQ+5FywrT
txkz2ZmjQ4oFtv33uBju64DfrsA5fB4/1nwb1mBfScn1RRbq0lfJyVSsPtFkem1xoHFSPXZ++Axw
GtUuTyrEbwL9SG352ffgrHK9a7zic5Bgej8yfSmwzyIVbgSrWdV4z+AigwCOujF6Y9uTSx9UgPKM
fxG2velbv0njprzuO/aGhMStW+WHwwcNc0Vlq4LBuhQa2UIRZ0jIHzElYFNt04T6MSpuCc7Yb56h
AgC2jpfzWpBXbqr7ZWJFVrkGDhuGdPRo1HbJUgE2QgWgaQEra1JHoC6fBYb8CEUQ9w7Mui8X0Lml
rr5apKKyRdMwl3Q5RKQ+t2WCrBRAZamZn08OrGhtzCddVGwXmI8hWrxjJKJkV5Qo4MoQdHVMP8iM
GgP3MN727dCna12jC477J244uSJJexShgVtlj8l2EjE0bY3TiMuUEiyMVy5fMK3kzEv2LQ5tsGtG
ZPFBWH5mRp/Dkn2ZvfW+5+RpNPTzpAuTYpDTR9yxZdMYkp22zU0XL0dh5wSHN7UYhDR9nznMSXiy
KFV0uW/84esCzzIFYrNH6/QVpC5+3hht9j485vcRhNnVDFt4c8TQSDmMg2kBQS7sgN8/OnbLBtoU
YT0k2dgZNMuOxwSFGHaDHNMbZAIVAC8W2ycOxlukdeFygaFa+wQ7/JIWAkWm1FV1XEbvdsViuEeu
Pj5glskEYMGGoDn8cxA0QcbKJA16vGZFmXTblNCB49lToGe3ci7s4fsLung7FtTzqYtJCBxK1WfO
Z8wkGMNpp2rIs0sFEMEbx/3kuq/cK2/7ESUONqnrAFVRih7yfrFxmdu2uekjjRQyfZl4uDwaUK2f
JUWt6vfgRQM657QwUBocHkgTBWInEWFAG+3SWaLVDyjW7HaJzKHzEwIK31uBKSBR2DEG9QcZQhxV
18IfUWBKHyWZqdKhjbwUg2zezUCAqGk/HQNzQgUSpEgdnQlk5DMtW54r3VDo7NKgt+4hskg+7YYS
RQWre5fKKm7zGvXQHtm5DuHj1fvaU/8VyYNin1j8WdTx/ACjH7uSaDGGoIPwYEnjYeRUD1PX377f
IupSdC0XYFIH8PE3NVZUNq3DuYHbUk34rT0S7mmpLmDsD3VXuJ1KWps2q7ne4MdsrtBWBHzAN7S2
mbZi75pq2Xeyu6/CmuVAB2CS8/DCMaAmnbR3qEPx2RvNYSD2cRWA8NrWdADj4fpQcW0HA/ptQHdf
xwbogD5Gg/0oA8RqQhweOQLmWLAomfxrPndPnW3aK0BDdxKfaKpYnew6FZq07L1j2LiXJZL7ienL
UPDvM7IXaau6sxMTLGU6H+KIPf63kUcjv90j+3+rEP7WYnbXt39Rz//+st+KBFxgCBQKF51FmKYQ
bN36b328j+s4EDPGkCaMwcIgg59Fwo9GHpMUwHdhGvg/FQm40hpNN8KBEYv/Lsf/BZwW2sAfG3ms
e1wGBD4fcj2GN6BS+X2RwOeyTwZeDbdN7fSZtwm7NnK+cNn2qATMp6iDl9c4cZQqbtfv4Ft7cj8s
8NP7FaNN6NzeJ5UGQyOWe1eys7KdQumLwU90XZCxFRRj4WBLpUxX+1KM1QlBLg+HEdp1oPZllUF8
l/su1u3wuJT6c1KBhiCok9IYaZoGarhl53Em6xmo1FwV2cKX+jy0Il/8gqAANh9lIlfEe73isFDg
QRUVyQmxfsxQwAWiF2z34poHEjm6+lEPQYWdrVu8vaa8zkdDvDweE5mrYA3ytgVw6kcJ0HuaXESM
qTA9hP/Q+W4fzvqGhzjjx0AlGFG1QhgoHOI5lZyOQNluqIVk52T/2UzlFYzQXYUJXb71rz1WXqZ1
a4cbPeCcQEvQcJ5NA/RkCcMFM1QIZkEZV34Uk4q+YPbfWOz7sMe+iaBpxitLj4kZHioRPHIYDcNJ
RxVx9zVFMYeEYCb7KoL2h9ELj5HDVArQvEU8gnYu2CGgE4jXsAg/RDFMp23S+WGQQuRrJ++Wxt5E
TJ9lW930nn/hjuyVnc4EHKBage3j5IC9m4W1/jZJ/6F2yef/bh4/VEAKMv3P24vLNvbx3/QXeNGv
WwfGkkL6C4EUgtiEdIcf/bZ1QAIE5/CPUSq/3zmiXxgG5IFMwJ4T/RhZ+Vt7gUGX24DLGG0JWgMa
+3+lvdiuDPpnBRCdBf4+XM/LInQr7A/RX1oEmxkUhzfVSgLz7CdV28lMLh0FYEsGaAKN9etry0Xw
qlU09wegtfceCbLECxDPM/WM2Ugu9oooBV9jMThPmRXOO9xoUOsWsyetLc5TAIMqVa1axb3qxIue
uoeIVl9QPGHCXRDc4LADRyxD8HLxXOMMrN5VXIHGAia3hcsq5LxhI7jhAEhJZJ0vlnwKLCaxFK86
QYF2UXjAl7ytunL+hIw4yLV6QGI0NEKrvMLfGmVqWJy8ZmSJMKylOdasLjaPcNphVluNsMuo3/1m
/VKODTSSCLgn1XJv53oCVwfkqyFHjDJC+WTkuxcYdDUIUOUr657rknz1r7VcrhUTOeJT+HhaeIhF
WzzRnt93ykOFPx6a9Z666Hka7UvEyx2Tpk/+d3Iz/3kGuIcz7c8X4t+6t2/K/OtK3F7160rE9Fg0
7LhM/Keu/ttKpLiRAwI9LnH4wxnOf4mxODCaKNz8b/r7+SK4QRMi/TZACRd5bLmZv7ISUSz8cSli
ukLiIXyD+A3mwm0c1e/PcKXDVYRLYW+9NngSyj76Nrx0zN6LWaNFH1l1hl40dZQdm2Vp8k6IAggd
NFE3D0Xq9ZjVBrh0yBFbffDYuqKFgvA8MReldqX3zusxnCLB3yVjVe3aRtNTUho/1VX7aGLIAKtU
PKVqviY9GMFONhr19EgyModFHoMG3LWjT9DHTf2NJ7unGOf7dTyu8qrxN4wo8qGSFRiX6LfxgVmc
v3xUoF1BL6WrkU+V5DicSadT+GKnXof7AuDVzgpkW2PWfccEhE9Ij5O09cOjCsgjWQUFD2hhgiMq
t4blO6bDNGkfDksGtGknDdIkV7QMvo3Vmwkyl5RHpYoyn8YB0yDWAd37IlB1t7PI/dXqnV6aN0y6
xRBcZ74NbjpTB8wo8fALmbE4WcPvMGoKU4vkjsA+dfQMR/lL2EQn7C8sTZbQy5M4vIKaf1d384y2
mGMOzExvRWQgHHrDDpOI8ZUEsU1dWdpTbDb4v+ge/BJQVUKqr7MPEVJyREKBQgFHqOje75Wf2nik
+yDCWFJdKLdrhWnyQkywBjx+5dfVCSw4eikAtQ2XD7MA++2tA931AYZYcItqDjr0vMPY4n5X9m58
LJ0XZAVNXmA5Q3Ov9QEs5dmK+Ikl6xslpTx0C2h0zOxrxirJlV+JVCNVjkyBPk6gKrPI9WcQeRbf
X49pwF2TiYJKD4OKnXzkRY9/GKEFLdTtyszXWk0K8g+5wwP+lqgakagGqlIl6Kvpx2uDVHxOOMOY
lyn4Pk/D9zFelr11M1QQy4sj7Px3qBjABfBWMoGSb19Pw2MIR+fSce88Ns1nvSaXtacoZlR1UBO5
6pdFp9aDsuXKgqZKFGi3rb1xzYrlMz5VgIL7KuZHGSC/AEr4sVgDYEz+8NIH8Wkbl3jkoTqjpEJi
bIm6Pbcw98vw2VRedR6djKAPrI/4O6erfgxHJIWV2rkygkO8pcJHg3g/hWW0D+ZgyTwgV2i92QvS
ByYbV6RprJXyjIgDWDwCC6Ra6h6zrlqXrTOGGZdeUR5lVZm7JgqTdAr6fJYLRfYHboa/wk1xFYK4
6Kitr2p8QVqCz24G+BECExQX5wOzVzhemwi4hj+cvJV7p55Xp5gW7SHCe0n7KFigImCVcogDtnFr
qnp5ZK4/NiRC+Gd1GNqABlq3hGKlMVAcng+FnFVxnpQ2d1tkAlHxnLAtRZCkyo7PdG4uoRnOKlgA
u5vHMR6HdLXdAbMORSoxtSyVgt7AYHquVShhClR3HRvuBVJXHDka262vtoAGJzC0KO1U8wmDPc5s
9o6LtU8OxFLaD9IDX6/AM7fzlbD9LvaM2ncLt6lv5uvCBPdCLu1unuguRkjKHzDycLHDBwsBCcFf
xPSUGwx7ueubGPN2R/teFCFyLGJ9bStMimU952D3uy+2i5F4XRAvdL5+UhW7zESr3djiqcF0n0V8
wrBMeGYskgFCeqGPmCDmUoS1yv9bS/+9lkbb+udH+JWy/+dvsvzefv93FTVe+us5vg2Ih1QPYdtH
JYUhqj8raooJ07h+B5RbgGlMUOh/NuPsF+RMMWIaoVNo6T/Gi/2q2OPaHsyOj7wwxJXYPwz3v9CM
/w9757Ect9VG21e5dedwIYfBnQDoHMhmJicoUiKRc8bT33UkW78k23J57nLZliyTze5G43xh77Xp
93+oqKkRZFksEgAnMaOWxZ9/N69PcLEjv3eSc8/G1rBQkmz0f8J/qSKD+0+PgvDOoH/QEQMYYiDw
3aPUAYN+YzGSc1cmceaX0EkFQAWXVqCp6SrRwEGVTEuPVmgDt6iixMuW4IDzPLmRq+iSxfZGNaL4
OMoy03hFMjzFxjGbKbHsySH9vZrv+iE6xQNK/F45yst4Af1wqpfyMDXaFdj7vZygbMkBP7uJXDtr
a4ZEGvTGzCrA+azgNnOBi/CHXYrlJ+s/YpD0bgsiNHWboHccpquzO1mS48L+Csz9CI5pE4yT5XcS
NL5EcPmmfgHRB28CeouqP0AssGBTGNoLHKDWleBjbWI5jcxV1NegGMu5Th/LUplR+0Nq3IaOQAAq
X3CAg2afzbmdGZ4JUuAESZnPulZp9sOi1qaf1SqUFGkxjY2CbnqpPfZ0HKaYBvJupsICV3ll16p0
4vtXPvdcN5Wm/lBKxcZmfucjCsKdKrIAGgiLWy3T030/1aZ9zeO12osxh1Z7QEs3lH7IZryEXTZd
R0rC8RfOzsFpTGs/MGx8FlLOx8GibrIzcL0ctr2OW5GBvAc8D7WWHQ3sCeSxde7L0ka4BVh/JfWI
y9UKzUDWpyNmiHDeDaoxnJ2+x6nJa37E09a+tqxupnkIedlt1XVqyEhqzt0Tygriw2G8WQamqDI3
VRC4zk04G0igkij27RlLalnlsjeluj+UCqEH8SMb9+HIWzf4Zh0vqwZZMKsd7t1TNsV7c+mjlcUQ
etN1meIV2AnPGPjUgdlTuzG1YTvqheVHk9peQsbGK1vKT3GRnQZYMmsICBe9NHbMtiiGzGxLbEPq
h5p83TrjbQdj4j4cJvujxLLWJqlvjpP5Uca9b+Stnwa1cidL/To0u7WklunKwSOUcnIkE7Pw1qw+
t233XsTN+5zMDzR4fqMNe2fK19xAKEmXDWfRabYHX3NYDxvqcRFE0WZ4k42epZC0zjh1tAYsdz9/
KkD2huUnAFSKP5qZtpnEeZkaw7Nhxm/ZYuorzGLtnn1ACLVmOaq5CmZdPZlV7499+lzx9gEiol61
rRWV/TpU7W0vL89T0K7CHMZ5LdeuFoSoYUCN7BIDYh5UGx+S6zXP8cbg7POneAnZ/gQtyg45PkW6
mXpRoF66rGhPjO0OoTpxMXfKJqtxvaaBxVWWzweHD5EMx1x1Gn+y7aNdaUd9Kh8lNPKpYd2iq7lA
WT1a/H5QnWPeD5fIYfekVis1SGIYXkg4Zir2JBorrwfOhjxHPqdS+lKmykuV5nuS6Q5lZu+TXrks
o+IDIsGilJ0MHQtcVs+HxbK2QAvZTETzpzq1tsBHfadhzxFRbGOIwPm9zLt6oaDq7PJzPgdwPlmc
+3OYFb4xaemmdqpN0CrSzTJL9fq7I+n6qzbq+/gPxOp/vvMKJJ2NHBdJNP/+8c4bzUrezmYWn8s6
VUV1MK+sYU79PB+yY5drYNsZ+4VllO/yanlXqrq91HUq39mokegUppu+SY7yBGXZsR7lqdsw9fsA
IRMCFGuaVZgEYGyZbJYL13QWxF4ZGK03Jjbuj3pQfcvutkNZvkFr7T0kCg+qFdWrQek0LMmoNbPC
G2uvnXZKlbLvCoqNkjQbVR+uMxV2QI7MKctveyvZg086LG22r3v1aFXl0W5VB3EoWKN2jrfqFBle
OyBxCqRyHSESJgXB8lu5vdHnHkddZO7lyOFzTUjIMehwPybNdJ/EjIkdk4WiOqtXerwUXm2aszfF
6Wmo4Ca0yS4djY0BVNuPs3oXFKmDnbWJXbyKa/wtKyOsjkBPmDsXkImy8UCQwJZzrXH5KRfOtXZN
aX2VJtkN03WWWsWAVKiQYk8TCsmG1kxrBz/H0Oai9rzXZ53GdIqRo1q4LLmYJi5Qm5UqLKnPaS1v
lAruhK48Y7Lzc830TJQoI/chrS0/l451lGsZLY4jfQ4Uc3Er+lxWO5ObZrmyA4DNvaw7xpb5pMrZ
Wobg49os4+ZcVbykndOVHoVX2mIofhGp0FIq7MkQmPqHEufvgZlSc8ogIu1+fakyWPy5RGC5wBBR
tR32E4wnfigRWHOBnxxgJwZIvrVkT2fg/voRfhwe8i1ZhACisB1kNUwrRfDP90UIwMQCOH4YnjMT
dp95FffxNq5uGijo+FO92ARJlqx+/ZiILH54Xn9+VPG8vyt9+irtKl2TpJM8F7SGKvIHfsGp+BTq
1B4RA0J82sajGWi7gRG5N0C641Mxlp6MAdQrmuWplKwj9iPZw3K6zpxRebMj3fJzObk3UdfiGJ4P
VqY/mwHoOSXD28LVVJSrfrGKlV1Jta9Ug409Z553/WRpb2WRdGtkEdCZ4vhTxrW6gjIX+dyBZ180
Mt7QO7e9ni2sjtN71hrqjmCO6wj2CGvGLYfSXds0a5NtiqsayVaTIwnpAhVKNhYFluBe9urcZCs5
GpFroZFELuQXcYzqUQNDbzjzgYv+o24BErRVvGt0aYvQ4G5akkddTvdGV7KCTynW4oCxQ9KBTAFP
uUuX5IDWwC/mQPW1TJY5YFLusvLjQDKHGyf5yY6mTdGMK4JDuILlVdqFEO60yi+T3HarJbH9JgtO
VW0TbmJtlRLAvh1Ot8g0KeAQUfcdhgNNY2O0WN1GqmIcHn35aob1qZHzS13lkBOmzm2VPf21hLxQ
21qsq/1KUe6LOdpOwTSx5enPlckZmVTGrmn0d1x2vRcA6UKZtgkr/WiNmfcPl9s/XeOiEP/uaht1
SgwVasUpORbXkGPW9aF+GDfLDgHh0ebo8T6po8va+1S8jF8J93+LDxX5Ed99hP+41Jl/szpQLdJ0
fnxwYpDsIsXHfKp8wy2OqletexSFB+nRWssr+f5K8o6Pwwq9+vDKP7LzfJTdfbwOzhrW5n/4aX48
+L7+MJpMeWlrJm2U8ZNYeJZHVBNKEp0jxj9aBk3tsRm2v365f7xn/fkxftpjLk2OjS9ii1XW7yF6
4/ny6+//l8+BgS6LFV0DKPvTuwl0aEHWUXN4S9c1C7bGoOb8eof6zw8sWtm/b9+9sugakeTYdq9/
MYfna//o31VFBKBwcDiKwltg8yZ/m8MLZhWhar9P1E0u+P9Z0RRZU4FH80n46jf7thKzfqPpxkSr
ml+H9P9KcUcx98OnjtgWRvmM4vmeJmm/X2R/33/kndyicOA+dAVYA0E6sSKlvM8mRd8XCwRbLzFz
4gdCZtaTdLQLiMKJQbEyJibhKhJWoy65wz51SO3pdpCn4xwws6ZaosoZKeKAPEIz7R7GfD5bubYz
YmgiJBGBcSDuaJr2tAOmN5FBFS/Z6OYtivCAgVtgOdOm0bQPzSbfZfyy043T2QPtpq6aFIrHYoOx
SBIYJhnOFqeNnmeTcVab6fPK6ebcl5vqTjcZSOq9pJIUg5WsWmRvJgVEDxGWN0XwmDmK36kUbMw7
fSMe38Dqu0lQ576hWJ8YosXeYMZPJuRE0haQ2E2219dwM+CDPuEf2thWtcCD0daRTTiM1uZbFQ4S
3aK9bSd0CLM+NGA1p7e5DN7yboK5hIvIgJkey07s5Xq6SdOJji8skH6Pjd8MgBzssPocyjoWK6Vg
EynUi9Gg+UEPNylQl3Obzq9xZQSH3ogBFBsqupzQXEmFrdyordX4OnhbD2qMxeRycjbjmB4Uox6e
bdRt5EWVTUdROXhkzMQrPbDKdTYD1CDnBJQpvmWqvwXztEoPNcv25Kdo8NY2M3W8d9LMutBCxdam
OIljELyzHAerQm7jQyxjEScYpqNCwTbOPiUC0AG2En0hraWZEz4mjOZlw+QzJpED81ae37SNUl9H
wh9rC6dsLTyzg3DPql+MtFjhkmPwxV4rYbTtmwW19ZLLwdtkxxKOZEOqd4UqXzCBK6uIfuxennnh
NwEs+RcpccIP3c76VS50C2M3C7qL7VGw4kQX6oZB6BzaBl4pwgd6d171Ec9keGwRRoCWdTyp7s+N
0EwEQj1hySjde6GosIS2QkdkoQu1Rc2oIPmiv0CIAY43pGRGm1EIlYYp9BqLnkLQERoOS6g5yi/C
DjW+tb4qPdB8lEL9kQodiAPUd2dCtEBGj0pEstGLAEf6mISCBOYrXSuaki/3sP9u5uKu9/c3c7cn
YPsv7uJ80Xd3cRn5EoB+cVtWsSJ9fxdH/kzrxV9f5rDf7uI6AZ6A/yCNf12Zihv8H1NY5zeRDICO
yTC+UB/+FdvhC1viu9pJ3MXFDZzwB6KodB11w4+101BNLcjlSLtqJ+r8ZRp2I22gj0BSQw5Zr0uN
fqjp5kdL5WJsQ/1To9nHjjm/bwiqKt4MfdM10aEbS9kt5OKE/rBx7YVhzQTcZ2rM1tedpsRS2b/N
TvEcxeEK1O8NGKZNMXd7xtE3dcW+NalngaFSW/RI6rHIsSWEknXfpgQ5ZU7ewTsN7jlaHg1gzuy+
FmBxU35lhNqVMporpy73Fo1yaizabhmCxiPlxfYGqnKCH1aqXX0gy7rpx9DYF2GwqebmzUaH6rTL
w4SQy00ZNAGsSuHZ6Hnha1XgyRMZhlYVPYxK/5JOAHWiNNqqfQlqgbulm0cQuDt2X15caec0r/dZ
itB8bJqPeogUdwJ46C2ZjZmxYUsc1leJMVT7CVjCuo/ZwFp5id41wq0MZSk4tyaeZtZ/Cxgsffmw
IRicB936tMS8uFWQRxcVBKobtc17hPTplJTZznAkFjJqNW+iorWv2ngiocsaedd6MFBNiPw7zacR
LDKzb9Zj5oZTBQNGA0FWZ/Z2kUNN2SxVAtkLYTwLbS10AZ7D0sq1cMV8kzZLwzwlwVHcJJGIMsA5
qpkT4FxWTvB3A8VXppkQQL2N1+SnBWsdKcuqyTsVc6+WrwotOSLfOixdcpUW4LLmcEHaan8ES2K6
CXLnlQQM0Z8R3a+UwJo33MqylZxEdC26wuwICcimS7gzJmR+bRwVfG0eNmQTAH6+ISjQ3vQiSlZT
5GQry+B0hgGSYqtp0oUcLxAQC8+0nkzTjU3ZXNs4QL1kHm13LiltJXDSaGjTeG+wvtyEanQ3q+11
38vFCjPS7JZd9VZm1BhxZIIwh3YGoIG1WKiICI5FvESxSmuDDfu+gJ3ttjTY27knb0RFJcyAqlCu
DA5rwJpLgHePaaIG7mprj4Bho1FHkGD18ec0p0SQEytYDWEubeUuWfdGtgqCgo0nFF03d/A1a7qW
A27CZiclI10lYXEg0hLzsijTJZn6G3PM0xW+ASXGSJidoe+juk/rj65Y3nCOEX5bwejKnKw5xcB2
PW1irt/U5s6cx+BoStawsYNCv1Gl/iF2yk7y5a6fgk2kThiF4r76NPJTWQusviBKMigrUb2R4vlO
gRCynigpPHlw9gVpS6txnBXXGXpUimwrKvIacFaFq7gopL2ky9tY0+4HVq0e+sg7Yp72VlJcj1YL
X9I6tcZLYKmHvjSHJyQK76PZHSdcXm5BgqRvjz2URkjrW8dheBFj04dDKR9VHi1C7DQM+kcNmNxT
luwkj7LiDo71sNiYHuNksd2uzT+3GLldWPS7MpkvJPEcqYwwLYqqqcjtcpPGWNymIaKkmsvJHSg+
8B/mu6IlyNRqNWM9z7yFSp1f9eAAsyl4kcv+udK5PdgyPCUrbQ7xqLxOqWki4oCPNbRluFZ6BY2m
hktfb1Z4qamTFwXOUzsgIxsfCSZEqynp186EF7HMgURR2/N/djAc+zQbvKrDPZnIWxjGGBL0YJ3I
ZX0VU8G6CZx6V5ocv5ua9zZgkWQMsU+MgPmMLDI3VnACToXafSp1a1f0xhPoYsACOTPpZnnD1gZr
q5y2POlsHakUybmy+JlpnaOEu4xTQjBrRmBkFJxsN7ZSjVKM2Uiixgy44vFS9PmRVEJUFXH21tkO
UwrtDEpmI+n1JiROgPcUs7vC743XyCYYsI37jza2rskn6VZDOe+6XI9WvUUQmJ5eQMBLnAU9NJj5
EHXZJUeKr8TRXUamTWQWW6tnqt3n8V0Wk+momg1UwtZy83nZBkRcxJlnywwiW0f1NFV+D/oC37xm
S/OmtdXWRqOSZl5oFjcyfoj/Gt2vljKZQebf10ZkWb0O783rX2ypxRd+q49Qm4kgehTef5jHvnW5
8m+OY9CrOiydFUOEE/+vyzXAIOAoc7B1Ub7wR3/UR9ZvtihlQC+TJiP05P9KbvZnX5mNcY1kUhPp
p+rQ7f5YHxWhzUEy2OWVDBVlW1E3AGqwuXjGQ89CA12z2h6nnpUBwF8ED1N/XSQ6R2SRvzU6hlYS
07YIOoyVozWzF46m5iY6pBEO5wWZDfzTqLMl0Ebm4kvjlF/XofMYGRCCaLg0D3vQgdCCY2PoW9yk
HLlStKnn6jHA0wsp0D4tzYyeukzJssu6fZiDyk11/Og248NQt06mqt+HBt1KF9sXmHSpX7At7OTm
VQUOChs+fBhyo3JHMoRIzRCUwWE5mYX1OAWEKzCgeHKy8tGchoOTKsfRyu4kIz91NssBOPr3RcMm
RlLIQwnGg7XoN/i/8ZNIz2o8eWEdrlHUWcRIV8fKKp/g65y1CO9zZEybYULtwpXx2mVsG4uJxbhk
davYXCIXsX0GUHdCMBvU8wobfL8ahgGvUZJfMbOnPQo1QCdsCpBInccMTU3IsmxDi7xOzBrl15DQ
vCuFJ6nLtRaYn9Suukv7eT3a3Gi1sLiedFAsbKBiNe8YHLTXZm/dR3UQrip9fjJjhP3xaFRgmACO
ZkWMcz+eW79QLUre5dKA0FwrUbaflOw9WnLY/J16j2FaIUsArq9ZOlfJYKnnLLC2rFJv67MewUNB
kDbaB3NmSKKix4otzO2AEldxtySrDiMUHH37CZc4mdg1pqKsjDfEcYNCzstPqWWWftJhTlRrZZ3Z
UPHhc87dvI0hBoO6St6aRnu3DBUwjhxuw1o/i0SBaajZZMtDvkrmTH+ACEZ4ysxi2xK7swLeoGHu
MkMhpiNaN3aIVosEl9U8TSqwHFA89pf45sLou9U4CIP7+Blc6dh4hoxzQUb4ttQ6rBmkcLpUq16N
OM4xheCKtSfJGxYWf52NjtDTlWCTyRa5o+33aeRRFuOS4NLlOnIeS23QvEgo8yj96lXshNMqtXpc
GPDzOcrR8oFbZbJhZDfOQEaaGuDTQvhXOOYxGFoF9iSawCxM+FwAH13ZaDjXmtAOMseS15LQE8qE
FBxmJIYBUkNNaA47xIe2UCGKPKwdXNrWjboRK/2ChExH9BbKy1VZ8klJhKIRa8V1gMQxymXZr4Tq
0UT+mBXmS4ccsi0vsa5X7NVsCA55sJvM8jwhonYH1JSOWn7W2ww9AzrLXM+rlZW2qS9NEhG0Qo45
GkKEWhshkmxpg1oOvbUq9JvNMUl2LZrOuKzhOAZcBkMevM5C+KnO9SkQUtACTehU6dtCwUI/oxaV
wvQ97fnIqEXJtY2itHVq0Nx55WKcZWSSZXckT304QocaTlx3mpCmljgzdQQe8JvQvQ1hXRwldTJO
CqJWKc7r8zSQ5ALROllZzhL4k1DB9gGoFxbaYH/HAXVCaqPYRDWbOfFt1HA1G3qo7JoMuLUe8I6T
70JK2rxcyqAy8dHgPsW4uQAll260ukF1wyNBbseQKgkVL2aOYA1DJ/HLGkQ4IyfasohMZb5Xr9WX
XNcO6Npv5UC+w9FY+oo67AOhQ9OWBc18W7LrZICoNE+pY7QjYoPCTLy2Tw59P+D+6AYtVxFUBgVe
oLhl8hVG+vG/eckX7ZrMquIXNQFTp/avxt581beCQEFmZqAZ+IquFAfyt4IABZoQFIB8MfSvcLY/
CgLcI1DbZLarf+QufCsI0LpB1UMC95XNBrftX8jWVFFa/DwwkfHAK/jRRF7wF8nZd5uuiSEz2TxA
v9OlsubdYpa59jZEWhdckfui5TkDEEnd2oGoXfvodtZD3U2xHXFs9Ey9AxOYdFanq97p0LEYubyV
x5ReZgLr3g/lqzIvIVqq+HWp24k1OzmNTWsewG0QuxMk10lN2EmITbPKW/D3NoEr9rzQRzlMWsjX
DpAVpMzZJVD+UdNlfmR2h76oHFex4sdBMfGOFxszg6FUTn4xLBvcGtyX5ByVS1JeFlSnpVnuuAEa
bpyVZEl1uHsd0gfosJZXJ2kupon7sqe7Q26qXqtyB1RCX8o1KUuFj1ekJOCs/kCC89onPZguCV3V
/M6hbcBuQ4UhgXjGQXOaVP2xKhDq0PJUW70l1o7KCnRcBVhCKym0FgIcPGWYDtoCNkptlvfeDqC0
DAe87RsFHFtbIdfQ2lVDDhsdL3SyDBZvM2jvHeU+4eIYzbHjLtqRSPftAnTO7cnxdiMLgQ4tA3q+
Ai9ctc1pJqYyuctoLrquuFSNfMDcA8AFxHpj5JeBt7QXfYk8xU2x6QgFXttmtVeM/K0gXB5Da3Ck
7z0S1QUhnp7f3FOsNhdlYibywrI/VFetVobFBbXQXG1yhT4klFP5CRccjm0T7zZiRhpozNwxrm6W
E2tAhaE3CsN3jPObIxELuDCD58O07eborBeBDZhzmtc1zvFRovlJ7PkZytJdt0wXZVBeNLzmMp7z
WJjPTWFDt/Cjx+q0H4VBPYtwu+OIJEIRsr0tbOyGjOIZXzs5RlvAL9KRYMG7WVjfsS6iEgntq0DY
4u1oQUFs+H3U0WSmWOc7YaJfrA8lKXVSubqHQdjsc2G4z3Dep8KCb+DFb4gLmirM+Q0rAk8qo09h
Wi9I8uZlbY94KhJc/arUPsd4zkth9y+E8Z+INGYIoAA6AQVQiB+aBCaAHQr8Tump6WQWQ4AEEogC
RhCFK9SvFsYCZN1QBwgU2mYCQwCibV9w93cj4t96gSqIzPSjhV1QwTAYWoYgGZLydE7OtiofKoE7
oJw7FGTVuapAISSsSBoBR0gQqm3qiRyiTqATVBgKbKOfF6tc5Zmxk2EsaAK2sEgm5W1ko1aCxGBB
ZJhwicgQGmqBaqgiZ7dM9SEQEIcAmoPJvAUi1q1kmrsI2oPktJdINt8rfTnn0CAgHvTeIgARlUBF
EPV4MwzMK2BIhH28aQRUIp3Q9vDpMV9aiBORQE8EXyAU0CiYCR7Mrk3/a3d/b3cZjf/90ea/Z//n
zPbrr9YBfOG30037jf0fjavyu0n6u9NNZ7Kv0s/qmoMNUqfT/P10E+nNRFhggcQjDapB47j8vd3V
ySKycUOx1DWRN2NN+Denm/HT2abDfWDvgIcbc7QO7uXHZrcLSErIlkK9Lpj+yGmMLJqghWH+eon8
QrDx4yHKMwFAIbbX9PYE84Jr//GBiOxMGYam47Vh8AnuSIjTV8bSwzwnr6BUSZGRIB/6SldeOXN/
rNPq3lIbAu0wwXgjwZertFHSA9RDx2edRnrtDDoUUj2jvLF5Gtuq8nI74iYvpvhRm91WPKCnVtl1
KaPoUSycjGiUa98m6M3TGEAzIbYPdT55DvsLr1BaaEeGyeQ7LYAdD2tVNzqQ1Kx9W3TalaU/SrZ1
cvTegWOiPUV6ViKhMm6pp2+kfCI8yTh3MXo4eWQqRuDzrnGG8xjkIetE5Z6PeQZ0lRwCVdxE+qG7
kCQHyaB/dOzmXQ2tlzCf4cdR/KYg4n2SWa+NJjiYgILXloWuxgka8CwN71DT3JdmuI1t+DZZFB2w
174VY5SuhxwEmjnMjIHLqfLJHWIUTV2/VrrlRUGLySI3udJtdrRzRkYkXOjaTF96S7kHx3kqp7x3
UXHfWHW/QViwpZEEykXHxg+qoYImodeLVONWmqsMGCfKJst5cToaOm3y+5qFddvrgPaZZdqUaLx/
CUFD/Yc901rLpnGSBrRVmOSotSk0FGs+qyMxLDOVzRgpIL+U7JpIv2SNBHCz5PqJjAYSehR94wy8
ttEI+1YyycOoaucFNQJamPSmLLC4akv7ALAOFAzxbq7WZbft2O8UIx1QL8uf5AzVVjjOD1kcG5tJ
W67UCQdTGyUDSXTNZyVTP6tjRgExKdsyA0lp6ArVxLhhL3XJgW9CezaPloZw08yKT0tSPUVWG3k5
MSyc44kPeS3djr22YRnjqVqwZuxM0ByXGGovHRAt0v/6tUhKUikWW+pmzzAR/ivylMYoJQmvabf6
WBe+bI1rxR7FjLmZ9hgakL7NiicHtFG69hlk0S42lPWw0FW72JSHh9TQxCQcZim0LREV009K7KcJ
OmraQoWlUidmBnb9SjV6o6TSu00Ih1tzwpRcjew+BqQZbYeFi2yEESCalBtscUivsRuKO4lFiBGn
jJ0Rvgr6wPhsJiQOTWF1CmM58Fqg7dje3EhvjxV686Frt+PYPRFcTMfnJN6QyARglhBi+chqRYro
1jhkkrRbMpZWURhFq2WaWS8O8WdzJI44GRMNl4NyQ6DYZiIGKqVO9aaeTYBZPYEWwWe5i/SGzE0E
fab1OiXyy2IQ52VlwALn7CXTb4exZSfT76syhBtKnUTEhIoSlZWb3tFjaqsRTtqgautGiai3lmrY
aBaSRVlhKxgO+otAEHZTOfqB1MCXHatNrxRXcwnpsURaFs/6A4Hx9qmSiPa9E0qJ0NabYFviHMj+
6Tb6k8STuyjHhcBlMhulYxJE6u8VOG1L7E8wm/P1OHuWq2+C/XRbnnZJ50qvxWO1SndM4N3gQC3V
+8lG2313wF3/WeQtVsP/w2KKmzgP71icO6xoDfYRPz48PglEiGa/XA/WaxXsHJnUjOlFKnP33z+O
KgPdRuRq6rL8k0LX6TizYhI2r5X4SLo9Hpl3J9wBlPiHx/nx9Pv6fHg9OQMVWbHQBP/4fGoGVkav
INszjUNjXlUkBEX646+fi/5X79n3T+anB+kjWW7VVLxo6/YB8+Zq2MqfbUCSbnnKucbcm2bFXnmt
bu/Ptp+55+EUrx/aVbC6JPvR3aLzOYJeckO/XPP36uHXP58qXsyf31TBRrFgRdFLfwlB/669zUgJ
pymRlWuW7+fggnzypDyGe4K1Ge34s7t/VjaTd67X49YgLOdAm3ZhK7ke3d81pf9pSoxf7k3ueoYk
efFOzQg/q5t3n//f//1agIqv+6OOBJeBPoSrFFgGMwixUfk2JZF/M3nvBPtC3BvEAOWPKYn9mw6m
DUOGasLUVVQ+Af9bm5j8BxJGWLYgLvl3UxLT+NNnCfo4xA5TgaKvI33/qcBTBqPJuRPkVwtQSaJP
XLhoQMDATS6ceOsBqTxqueykCyYlMsgtbqBNDKwy6qVdkSW+A8SyULjmgFpSzr2mvf4ctARIAL2c
FuUYYj1YInrdVHAxIyt8bufsMghiJhQfLAwwNPUvNE3B1VwU4hNzwdrMCL3Fx9MVjJkjJn5fiJz5
NcVo5jpUku4CvxqkPmxQY62B84ym8qoSfE8iZZ9GBThXCfrTNureV3ucI6nggvZmCcgV97gxkZa5
CHooidjKzpjRygAW1QCMEsf3PuvLqdWdtwwA6Tjjb0uycFOCJjURrZDuZV4ZQEszQS91IuMe+b6/
lN3LGJnrVrTl0Mtqd3TsayoJJkLlVQISlaNxXUlKwNAIWmpiQQZQGunRQXICUB6JBGjVqIHgswBb
1QR1tYC3zpAcEityyxyOpvNCtPy1AaxV7+3yXNUXudTWOTDX2VKuLMNZ99p0M4tNeJLEKBeUV01B
J5hJT2yeH7lrr9FLot4ZIMYCPHmLQcgS20HMiKDKYoA+z4IzW6f9BU8PQXaCQVvr6A0ElLYTfFqt
hlRLJ7AOBLuWbcTozf1wG6EI4dfxGpBd5ncgb3t+jIDIFZzv0HD1sdwYMbVgYysemV6HWpBzk0Sy
sFtC0y0FV3fGRhjb5WEcg896ze4gFgje0ryRgFJ7UmceHUHp7QWvNxLk3riJbiRQvhDG9KNRIvOb
6uQOTcQnW44JS84vORhg6oeH0GE/zvnM4Jwnta0ENdiRAptQlin0LJDCmmALMxqiBo/TdYXrbgE/
DMZiI+vDNlVRyhT9NK/Utn9nx1/5uonIVLaqpxKcsaNU2TEyeLUFaMoLS9JuiklpkYxS7tGD4ENH
meCaRC6clrm5rwEnk/6AvFVOGnAGGNVjjGp+3hdIPkAuy+WUHRUgzD0w5hgoMym0N2QRxJ4leM2S
ArkZqgW0Y0FzdmZCslCBvVSAnm2Az5oB3HI2ljPxEp+DQQLaCBzaqWykVcF21NCnKEGws2D/uQYX
PTkR9noSjGkCBHTyaFJICIJAndSwqKVlfg2p1T3iJ2leeEVdKFf7bkByAsqaHHamPIJuzeZmEy9q
vqLAl6DtCgT2AAubkOrXboCNPQ13aaZQ6trXqYBnA8omWlAAtTXI2rNN8GoHaztaunU0D+YeQxHR
9konADwDMYbS/Mr7Ou8Ze67KivAWhCOar0r6uzq1p0yWThMAnFVsA72AXvlaLvF2rjrDK80cnIFF
rPY8Ig6ZG7Bcaj3e5hZemrrFQRiooUMLQC7jODBsHHuuQP77h5pNbLUMIXPV0f3YmXRT9/J7m3NJ
6GYeE1Vm3VdNfW4z5k/ULu9VRZKNNK7bhMWopGY6Rbmlrk0lWUfy0hwDhagc0L5+zit+qAueNAzU
weu74lnPs3JNvGYB/9QG9Dg0OqiBcBvo5sSEbX6tzbjcONwaCeRb11oveaQOndC4ghBGcISbm+iN
WLsdk3xktVxe1628IRrqrlq4V5bKrRKy9ytBg7s4JF9DIjZAd+1Vnpw/xjLuG7m/l8xF8fBB1qBV
2Fc2Bhd12gbPg7k8Nx3Bo63O0jKTtphc/z9757VbOXZu3Vc5L8AGc7jdOSts5RtCUkmMi5lcJJ/+
jFU+bVe3ww/jv23AMGB3S1USudf6wpxjorzlgFvYXX+t2NnCq+b5WhqUaAv9ifTCYhEJMmRxUU2c
8mUc3HDQbaM6FlCy24cplE+Z2T03tSKqZP0zQA99Z5hYKnXdjHH1pcMqIbt+OQF0ArddE0FgWPum
Ta+FayGK60vYIoA5MyygQZ5unJzmxQ8yhIJsq4LGfBrcO9nCLH2RxAfH1h0xtPS77hMEjcfEEjya
otu6RXkxK2hLVW60Oz11vwwOejrA4JZkSz7a5DXvNIfoOI+YinXuJaDTbHtVBvLUVvn9QO/tjTnH
L4Ec82RcgXwf4xJ4YxL1z9iGWSnX3aHuLoM7Qc3u6c296NaeLDDQZZBszbphGd4kz2wXtuAYselo
HP+z1pyDydM2w9RnG6sboduw8McZ5fO0QqLZq+gArlVbttjAIV+WUVATQG2ZSAfLLyQG8VkWyOLp
4oTjPaelkNumSxBEdfU8XaimE8YvPGdvml1SQFjuJyF7B6M9hN0c3BhWg7Ri1tDptJ29x8t9yZvY
9997e5q2s1o+x5XPxmBwU4JZoo1gQ21ibOI0OrhsrvH9mOhTCc7VaIafEq/ihFCrbrvVduTwXWy7
VdgQ/cuaEP5MsHEmiDDE3O5AZa0E+3OTeBiW7nwkLaNcZWP+iQmTfN4o3pp6auINRRBZRO5LPIoB
6h7WS0kWVm20pGuZ88YdsFTCMCRRY5VXH0ygDTu8xzC805B3XJLGu7EqEOZJL5gg5Pojv35ucTQD
1ZgemNt6m6oe71jybFNfuQksr9gUo56RW8b4JslxYhq1fClQc6Gaujr2tHJz51EE9e0ErpBkk2wv
kTI0SX47KG1DW45MeKoHr7Q/OVxvOyKmGAzxCmA2vDe0Bnd6ZWyl3XBlG+3lp98S+dmucDuc7ggs
vKCZ8DzHPev3bFo3I3Qkzn21TEKbgaZ3LZRao3LZkiel+T63xBODF916JCIuUBxfKHJfwAWfRi/3
AINpa3q4pSP9V66WzSDNe1A3Rz65O/Ib4JcgJKkgDy3BNJxBIT/4SE2AzAL/KZ+dyniRSoviIEpp
zZG5FCoVmQTkaWsGO2wkLMjiSfTQ8v3MasFuziTTbippEv6K6iVW8hdXcx/7ajjPzF/0IvnIEcnU
zJd47NMJc3y/m5SSphjdszCgQbiCgxCxjY7zZIV1joG7CQdiPvZKlxMphY47u8+pFAJ1CWnfkdLx
aLIxV4PS9uBkRPJLbNTCEQX+k9az1wR/7VqlCmr09MOT1DA+giGvalEOEXGwjYK2PYkaoVCNwChX
MQQlkqMsD7VtQAgnNWfY8eFycn+2H9xOO7iJJ7ZuXO4B8eJmyysLQe08BGwZf3aGf7VjKm3k38/1
t/lXUfxzL6a+6PdeDKMWBzoT+5+IUgb7v/Ri5m/KVMx/GKxTSjK4/70XC34DgMLOKUB/pUb6/5jp
WwEzfZU+xn8xiVDCt/9iYw2i/Q8tPRJ/KDA+zZhv+r5t/9TR/TomIjfYM8feD25M0M4LaAhzhUFK
bSEtjU/+2olFG74hBGnuMFixsxRqfck7dHLT4NQUQbasRPYBUvgwqVALs4Pfa9soe/A3jmpjO++L
0arX/RDcZb78Rk1KLdnAturNrYbUM2qTVeQARUQC6iMFxey605CGOg3aYy8tT1Eq7zKlHnW7BnCE
u/N0k2syxQ7LRY8CWUOwO23ZXVzMWV8lSpMqlTq1B15CW4LeUzM+UgSsxB7hevW9FwS4e7zdn3BU
z+yQc5ID+dleA5RBnVLEVk75BQhmlSmtbBqgmmVzVt/gYd0wOiyW5mDsaiS2g9LaSqW6zSytYemO
Ele3uJJ6TGyrtpyfBZJdX2l3ZYqKt1F6XhNhb2yjlieDbNMoza/RRN46RQbsIwdG7DOsaqUQBuH6
KpAM40e7xkV5MyotsSZCZyOUvhg/xV4qxXGQIF81mMKudHJP0AOjTK6URrknRh0ffsCYdboTTrZv
kdwt2PT9mAQZkbrSOjdl+OTnTC6tiBrX7AF/GcZ3ZxK0hVBadtMpVcrpUGmoh59qaqWrJis8xYWG
1npEdD0jvhZaIV94nkfyb2bhnu2kXSIdQrSbHsB5XaVScTeIGdoVw8o6PmkmsA+iPpWdusrzMkbg
02UBwqHI8fZ5i2d36QzxNvF9ehkEDsHZZDF68LJy2EJZI7iWdwAWuA6ULQ794BqiXw6W+aR45XVJ
STE4QK7pz+18lSu0uTGVgMq9ooHVAEzn2S8JigKQp7/8dRz+TcHDRPDfH4fr/H9WZQNE8l8ciXzh
70ci4ykKHjgRls1e54/eVeM3gwEjgbcm86ufp+U/jkQ2nPbfT0Q1ufp9PEXYrW5Cm3fARiEI/e9U
vbAs/3wk+go/hczItpih8X3/NOqNQiBFxgBE0i6fpKLIDeDkNBaz5Bi0za02K9Ycq5wXxyZmLlDz
ks5jpOALXEetNhQkteJWIj68YRFjP/OJ9iCh+9zzhkldbWPwEYp6x8quIfq1LyHoB0AIsJcg4Zuv
NGT4WUc/Rq7gPQag9Nh5FBt3Bo/ogdljXB3tGsB7XTI+hxLpwJBWV9LKwBdqSbAz9OizANs3WvoR
98ql1GOshYrspzepsYFFRHYh2L9cJttJcQCJFjyi/HwNO/PQuVV7jEEG6kOUb6KaDqSXVGFYej5c
PLK7TrEGm9GZNkE5frml+8XkMF1haulXLYjCYLReCtIGD1WfM7kBY2gO8V2suIb8NT+DQtwAYVr4
1uAttZjJ2NOInGNt6sY2M0IGNpX7zrkL/wUtf4hKcXbEl5sTbY3Z1ijzakvl9cNr5L10s2iH4dVH
7+IQFEHNtEoTzV332njjxdKiAzKfktAnQxjyj20aZCoa5N4WlcRZVGRbSE17y+3eBDPARW115Dni
IJ5nWx59feJgxEJzO7a4NqtunHFgsLAJTrFWfYNkckDdDem6TXubroWz2VYBcSJBW03uTbCv6im+
szLzETcCzMEJWZTpx4uZOPPXWSfGiUi5oH/o3Ty6oCmqDrMumgBPUbbjAlrLVL830JSyAvPRyCIu
5hZKnpToGGNN7y8sFWRsRZ4qtatxxSSK5Y5W3oK/IQWXCEKK5wdPwzktU0idPWv73D3YfcGvGCdz
mI7PlZP88CxxCrUU2KBR03o0JN15Wv9uw+hByGK9Mkl4Y/nrLIzI206BXWLETnemjmTZK9sVdDHA
UBZHropDhCw1ph600Ozkht7Z6DV26dN0Bf3xreelvx56ukfXmfCoZJGzGLT003C1FzhtqK3H+zzu
TtOgPaBkf+tY5rDCDgAYasd6bC66FT6ORXqcpOBpheZTJNAkxU34EI7esUv5DVVmZG+siq1q5geX
wmQw7MlHLATzIo/yFHgkC18v0T+YtN7LJr1EKgcjVJxVb7iRhn1vTfwsIkzouYw9aOkl3JZDBOG0
d+Wx0pyPaOqe1DI9Khz8d85NnMw7iwyDCioCluTpxel9f5tGmiAZEZUZx1wFjVmjnVImoXCEBzQk
zUvTioMVDOfMMvfMZ576AkPbAA9Z1fd7rq1kyQuLtU/L7/G/fVSWwCyT5c1idiHPdXChcbT467Ar
2zUme7EpAzRsNqL3tBLpvvCq5djCwDQx+KkTl1PKKNcZFKOSWC7GUJ2+6Yfpjuw35miIunR+BZxJ
d9bkntM++HTgS6NmcB9N1z5bdp0Sm4pfa5gqDNjqiGvieUUE5NUMik3uxcjOK5JnW4pBwsnznUCr
beQd2nvRAQTifevn6Gro9ocnGHWB5jrDwQ+3UURhhbrknkynBqMh0aOT6X2YiZetjSL3F7ZbrSdL
mxciMdkN+NMmwxPUdHN4TeuZzrUxHopkIKsVGeNnFWsXtxyGNfz2e5kkzzIebpog3gnH/55Z0K47
7AiY7XTMj3VFnG3rANBD1SGeBa7S6DybEZMSdyjX1O5Hx28eAgW1bBTecp7LN8Z7pK/YgwXtf34J
B/CW3tB+0HPVy7lvbu0kv8RwMy34mSMcTUMBNRl+HvLZXGeRna/7zrmDn3nuAxB8rsJxpnA5ffic
uoaXvlHITkdinkCK/mBB8yTT/JBD90wHMJ+Z6yuj2fwSKAJoPT0JhygVmd7yPvBLgBUqYIayXtEB
6GLbHMhDx5HSs17vrgWkUcNtDzrkUVsfHwsTMILt3LqQ1qrALuAE8KlW0FIvdxENOIBMaRlNqmzg
poUOAJUzlqFdtSvgnzYKhOqJlmPH7TiJgKQ6CpcKMxVwapXuZ4VS1TK5L37CVRVmFWuvuaesTFbM
zfp1qXCsmQ6+CkC/oTBTCBtR2P1Vlf2sylQt9O+rsut78T+nPmn/5+YjQe76z7WZ+vJfajMyMSmk
AlP3AzrCX9pV1GQ2VnBKI93CCMdW8ffaDJ5+wNf8HQv6S7sKMhQxF/UU2P6f1d5/067+U7PKrhBV
NXlifD9QgX9aHDamhTzV9aKbiB1Yax4TO/5/rPltV32PX3bcZJb4NMOWg8zNAGGiGvZfG2LBiRtU
+TReogz7Y9wHm9E002bjifE8YoWFTUfTvCXSI127WkXIrNH5zhX7EHYCvwvcs9d4QbvHRV6f+0bz
66XoiZw8u66mj2u77adopUPFnNet1FkmSL3aZbEQ6wbD63Yc63nblGiBpeEa2ya26zWWDgQaboWF
fnBvU6+ItoAA9VWPOmibkPNrriMUJtq2EHC5r8C54m9kcMPGMhI81HCtdW0d5JNtpjD1+V9ro7KB
Vca20K0rhUcGs7ge67sOd3iT1DOjXwPB1xi/WJVxjFEcL0CKc7kFqEaGejt47kn2roGfR7v08fDk
ZNYDAqFrk82nqBieXKZarHbIGcoS+1Q39jqy61McgxGNomxvNODUsJIcmXPigxVce1G51RPm6HqY
LOZyOjSO/lql6bTMc89lY1DfNImb7oIiPvWj/oEgF7NnhWrMJkmN5YjxFeclBMMgWE+lS+p4wIEV
2czYu3F0toUVzkeccceBYdkosl2nJdEWCW6zSixkYHMFmiM5C+lY65CbbhHF1Xaem33YJPexU+fb
tEC9HmnZvplVZCe1QdGOyDFicUX5eYwtLllt0t3PaWAYOTUIkHTT3YwVryoCqzUhohArSaIWMNLH
qj6D7GR0myKDyzp/6fg+Q+YoddQEl6p5tPsdxGuQVWFgkknJGaxP3blmnrwkFnw/ZOO0LXP9CxbN
D4OLbdvkrmCDK7R8EWdOclcVvsB5bydgaTNgYZ6hHYIsNbatr39mWow7QbtA/3zsYm2bx4RP+FOz
DjNQNJZxmoV/NxQF8DlzlTbhumXdLlyCzZG9bX3Zmava4hfP0HXX6sOzMXMrVViSgFO8ze5wLvWO
6htJmpPrtzPfdDCKM6pL4qYM3Pjau9kaX5o27kt7PlnAR/BeM+oo/flADKS/cdJo3XgOC0tjEQO6
GdgU953fHW2RnRxzuo3C1FgCZHAh4AaviOcJqHMD0G7GiTsMUbx9U8e7CUX+Mp575qxzvSE19MEf
20c7G5CjZZTMMXuQoTIXIOYUhjc5dmW2Z5eVMyY1niotfsCg9QjDGrC/3HhR9W1646EOtMOI+RLQ
i3uo02CbuxBVfK9Fb2r0e7u3u3tbpgd+vqOD1IxtGVsFK09QETTxxrQqctvsMduNmjBfS8lEqoWD
wwB/mkLyScPsfsRxuBixQa9RiDUYp7t4VWtk1aQqsi8GN7OAoquvJB+L00AZf8FjQS5mDoK/BVbs
qk8YlCiQSEE3rP069D8oG/GMsX7SWqz3Q+tewrgK4aBXw6KzA1wSMQFrbHvyIxtRClzTue90gB1W
jYE7GiqSDYz0iAP7KqqMHa0sq8VQtdEGu96L615TnvyKYn1eeWNbYG/I3XPIJGo9zqwpMrf8sCM2
AC59ER+5gGfkPDD2y/g9Ttk2mqITU7oZmWJ4l3XlRz8GyzTE/ZLC1Ak1/Rq6PGWremv7bA3rYzek
3Td94A0Y53QThZD3LZm/ImRHuuC9keEAE5OpG0ZBgfSXgWHXFv4i9aZTG2I2QfmasvRNa/OHcLtx
W9XOKi2GV5rFLUVPBWaqf2PztKkaHnMm6RO8Z6Non5y+eHYMtGzBmF7HfDoVgdx1tcEHXKbPUTzt
E8lHdBzPQyi2UGeJDsrd+66bb5zWfQUKeilTe+nbw7NkU2BIyPnePGwGmz5kRGHM01gXaG3nOmlZ
ubhbElBRyOQ1qzM/2UftGK9jqyBN0HGv2OL4DeYGuq/Ce6iH5NDR0uKa11EIx8c6hCKiJcVtkszd
rkyjZ2eqvYWlNzsH1qJaGGn9eLYKfnoReye/93YwDg8sv18DEAXhXC4rP6OW9XcZUmiyaASBr9m7
5msrRCU4i1Ed1H34rnfZgd/1KpkZwAVmQKs53bWVzl/TboEha7vGcd9CvdqDYWJxO1zh1q/A5M0k
xGBhEUl8q9vjd6hLMBpz8abb6DrNOTkzY9nWYf0gim4mWrDcDUT17vxATCfDgB1mmvCbkjeXeEu9
YalvmmW3KQRMh9K25S2Kc2i4TWSBaGpeCj2Gkar7N9gryoUs6vrYGh458azwNo7rfqJcIepLj7QX
Wbm8LzPqzAmTzsKirv9BWA9rQUvElMDAvGXcht+/1Gf/Qjv5xwEUBD8k/ijfXaoQMvQMl0rr1xLE
yBzU10WoXVJQmtlTFnzYzvb/749QldYvSr6Jt9jNev4Ina2269301c2Y3v7nP+NPEtD/+zFAwlMb
Wq5j/enHMM1+EjJIohvijjgcb2boHOMDqqX//McoIesfC7aAHDgVSmOxLQEm/scfJQLNYXnZEN30
Yl7X0DJbk89h/djbt3IwmIM0tDB/Ia3+z8fyH1uJDUCQ4l90EPqvHYT/m8UzJw/Lw1ap/5osQHgQ
9TtPSnd1/g1Sff/eQXhkATu4MKFB41P5WXX/Pt11fkOPF5AS5IEZRIH7XzGt0Dn+4XVh4cUHywlI
KfIMXkw+YH98XTIB8WfsQu+CRe0QdfVQnDtpTgTGiqEi5qpQkVe+bAm/+pmDVQYx4XXlz3wsAO6v
o9VeRVxPq7iFiytJ04LptkJwTjGngrZKI0cFGKQfFtZ3en7iuCathQ07OxdUmx2GAI0rX9zDsHqW
fWlkdx0QqSt8oV0gR4KFQlAmDAUiPdEuWUjs56IeanhJWvSKpCi+DcM4cW/jfPJuncLHVWBjYwRf
D+GhXKHL0IsH19OsTcjIQ65bYgG6m1ojq/epZ6Y3EIojnzMziCF2ZeUuiamymeY1Z5naB9k79wTP
TkBYiid9zh96m21VGVefpkJGuHEPbpC4wwadA3jKj7hISUbV7Ivbm1Agxqc+pt60mC1riLQ0wTQh
UqQEG0kB6HuJf7tg1W3Y8TPGfJ+SMsO77lzZDN6wzeFS1pIfJEw8iN7+4vgnMF7wS3H87s6zAOAi
5KqRkUkgM9QNb5MVUT5zB+kzZoRaeUpE7j/UuWFuygKdRmF1rKhScxdTfReomlZCJnsr5o5wuOwg
BXlUcXpWrM20zplBTAerMu9CsydT1YrhSNjmrsxwVJg+cQDBNJr7aVDNUa//0Mtg5fctqrjQCaEQ
tCjjgvcoLo9u4B1bkuiXic+KzJqDqxeyKQzidjOG2g8nmDe5Pu6rsLqw0KSICptV1bCx4oLjAAur
767EguAmCJxY4n3KOIDdOxUvvNIdLsLB27lqi8DrdceNq0SS5aVzUo0RdHibB/iFImJuothA7ach
lGU4R/ZC41AwDK2CllEHli99Cg+8jLpDxxPs2n5D0GKyHR0Ke1evy/Vc2HsxTDdj7TwbbXcJuuQh
pUJeJnr7JKL4PrZJNKj0fmtErrZn/mMthri5n7zwAaLS3Vz3fEQMAI+EQKJaTQA5G01424fzbkK2
APhS+2xqLV7pdpVtJ4d512wE+VL2QC4jpwWECavYsKf5UFbeTTqVJB/7yCmrvrCW0OI7CGDyBMjj
B4GVh6RH09m0ydlNK/iYkMqJeDS2epATCo9D2uADsLKN9B3pjNxMQXcTNPbLoMX6ksi7YZFOwl3G
vfUtJnIICL277+dq2VEQzSqC0vNG+PEF+PQuGx5NORc7zebtJExAUoAlX/lkzszZvBdHMhHArLMf
ygx7VWPumZBYK4tIgHjQQE2QmLPUSQneyDq9SSJ35WrZvcjRuMa82zJGuCnTbJ2I4NaMinrj5qwm
ZCWxYDXIAuvCfZCGEoI2+ndo2m+6lX/qlrOvpcXIMEK3GGrmFzKnp1Yl8AohngRN29oM+us0oTpM
XPFaTvbRQSHtwFqfkNYdPHt076zUrzws2vqE8K3+sCTxAqZDPIPK9OodBhna2K3njEXNMH80lvla
A0/fBbpK3g6827kfCgYhMUSPBqIaaB+KQZIIiAVq97rXscruQC5Veo7IqpwWvcf4AVbeG3qhayfo
hWXsAxjpQ7lqCP0AVV0Rp5jolwHIyBr70tcwT8EKlds5Tc1hNYSlt8uyAtWiZiPU7mv8zzrLH8Bp
n3jIxNJobWunh9K5JKND2FRbj3j7zHhlmfW9LJiFTj5oGWMmqDkpRp5TQhCWNa0SJyUFJY2rM3rN
/STCN1FA0RaaLdamB6ZtJBV9yRDo0/UKFjphOq+dgugC25p2LtGE+7KyNxkcmhWy73zj++yQOA/n
LUrAt8Z3NkWjAb0KtyXT/7tYS1wyuZKA8CWJprATTJ+0Av0uoXZ3bmFWG6829nVknVIvAZ4jUn/L
yo2wNkQey3CYpkPc9wrHj+Sz6qyDieRn6VRQSrIxKnZxUcyPsxQ8GzlpG0dJqzX2BIsIlv7C6Ya9
Jeg2DcPHbO0MxygPDmEwH7VkFkRIsioJs/muEeEqir2rrzEHmluWRnGP8ItVwm3Vxw+FicMO/Xi+
qSxGun2sNcvU6j7dGsIv+HV/O/o4NScDBC/ZXEgX8vi2SzCWhsg3sjIZtlU1H4EmnEh3W2H8viXH
JFtbaa0jcWJzRzb0JXDSTx+OUt6G7Da9gI0Xqnyi8RyitPxpDSgVf9WMJkXX5ZPRZ+9lpt3mTXLN
iHJjNqO767Qx3EVjV185nvRI6Pams2yIConNtwTZt5I5U6iERc7QkwEQ9DB+DH1YybpBp0jyAyMW
fZeOafRUx8Rxy/DVZS+zMPnoern4hnH46ljawom7S/XT9kcgeeiYwdoI0FQEIn/CY4CpFQT9wtS0
u1mv9JWWJ2cDDC8Uy+yYgxBeqhmOow0cYIbxNfotSLPw5IeTYGY2HZDlBKs6Q+/mFM9iai5jgd7O
nYQgOs5e8kAPdWscnVz80Cr/W45solyWsUWtIaxMv3C5btq+7LatV63bin8qS+1JT/XTHB0FBXXT
eyBvMhQ76UfccvgOGqqYxttDqVRvjR+hAG0OcytZAjGQSQRLv5Qt8jjzPiehyYbNtL8sbAML/L7X
JI34lznAB4GOr8kxgOglq10+dlsqtzcqsH0yEp5MpbOwOvcwO6VgppHcuDXS+UA+GxbfvBrp3sL0
mLEA31qi+yQ9/jlC94siiSxCPAuqiDEsLryAkakTIxKefARGWfLYSLJUqxYBqlbVt1USnMhQxi6M
ArLXkJ97KKGwv4otqDtWXCazXkMiAraYgbRCRBv4nKyRZ5yskLuuYqj50fwCqAZ1J+PIBGqypaqH
Zu9Z8UFO6XdsOMkmkv7NZKTbct62AXmKjO2mgindibCLhzgf6NRtWyzxe2/TdEA0jn6bPOYPy5cb
V0YfvpucbLOHiRDqMQ+rfifmD+WvKVOHi3hojnx8HqKJDT2roCej8hDoQH5um7W/s6J8ZwIFHbps
FfpWdVe4jVKnF4kLM8h2DO05JhWFZCIQzc0Bc6sUDPHk4A+bMh+06W7i6RS6k2grO8QmGc2eJNEo
yA6lZKE4ZsweWV9t5yBiN1hqG81LQZtkaNITu1wxuutX4VC+gN1D+eMPNcOmyFgTqPVoNcUVmSrE
DgssY9o8o3l3YPQZ/KRJtwmcYB979juCrdsxCSAyeHA84qQTS+qudpllzGwd1e9p7Fi5TibqQp2L
reVK4/mpZ0dt3gcgNYKYibSBvL2yV2PnXYYOA0HvnRCmBouiTd+NYFq1gX0y5onqpqw+uFtAwebK
YOQ/tkliHzqU+HM4FNs5Rbo+Df7OHvpbMG2keMewK2glFtQ1cuWGxY9Gip1FTPUSIuq8qVv3ZNf5
vckQsujQqjqilDvO3VMgra03OVx2gEZ3PSEO3G/8gU6DF9DOW7Id8Ce3MxrOKt1WJtVuYGRvWZ3g
ZrrJmKOlhHfI0do7DfjRwB8uGrBp1A7djXDSH0BtmREZcOkm6P2RfiHwYpMXw8U2b1y2/tpcr5pG
iw6DXj5nMtp3cfLaed1jxdiSMYi+9pvt6HpX7L9L6t7LVJtvSUUid0u6jSWi/Tx58z7t8zf+go+x
2hJ61ILrmOXIkVPhzRbl8CxmHBVlnR5HRFwr9N8l1Oz5LIcJLphrvFSDjkE3u5OyeM8qH9Zd2/Em
MOR1ylNixc9CIqf4OUT4S8Cq1Ev/fjd4fv8BhfGfV4Lqq35ZCWLmtXCwmw6GXocxzy9uQvSjgNn+
wa/+fSVIngDgCTSlWAqR+CiP3+8NvfsbtmBoTACvLYPcvf+KufTnhR0NvW8T8v3TZqxjMvkzpFrT
jak1OyO6CXGreerW66BWY15pLhj7nysuxmrsgtXMVempO7MQEVlB/Y4V45etblUZOESxyHZZevlx
LCkl5iA9F/GgrwwuZRUQs+jUPe1zYSM3Qg2ZsGeyk+rTwK1DNk1/6XrQrcbwCjoJuk22dlQdkETx
mxvkK420sqcGwhMYxOwYCRkuvRAuAX/tctNTWmDEgsdomK80atAOVP3BOdiuAPbYG6YV35jTv6zc
4ZOv6ha/BIFDrNu1zOI76rr3mRJHU/rbQFU9pUOEXEYh5KiKqOfkoTBHG9Z65YdP2RRTPgmAIotG
8iP2qrZqK+MW9J2yHJ5Liq9UVWEpS7hVS2HmpOmtXlgY1RICV6Wq3nJVxwGuGqim5SdlRLvMDZwl
Weznmzl2iBHX04eBkpDbnFtc78A9AI47SRFcWwpIIQwSfGWzSXOaMo0iM6bYjLvxWJX0Yx5zVTUi
3kcGfqiopEZle1Euyt7hWklaf8VcZn5kglHsgtLpEVR46TJSNS94fuwg2fhDU/VwBGqbK06PVq2q
li3pa+uKAtpVhbTtV5sJKN3dpKrsuO6CzRTpys0jApiyVC+FqstLV4NKqAEx9jYlhTvDYO7vCNtT
XsWk4UUe9wSFPsrSem9ThlP7h3QQ9QxjkL6AIK7PLohpRFTPkKvuIVd9BFygt5zGwgVWfU6yimtH
dR2MWjap6kN0GpIkNIDeqh7FpFnBOBKvPHMYV6nqZJjVOxdddTeNOYll1M+ffaNbVDaQR3rVDaWq
L+pVh5SoXmme/DM8E+YWo/vVVAhcmsC4FBJIudXxKhMiN7LpSajdI4IwDc29FrRmg+rREgRhsLi8
fNe1Yw6RWYL2oKcLae481eVJwRIxiwp/pasesKYZDFVXWNu5vUOe/Moy8YN4ta2nOkhlnNOERu/B
jhynJu5f2k30ZfAKpFejIWsD9w4zXWcfFPlPdakOA6GxmQB0Sprt+HmM+MybmQ8DHhw31dK4mazO
uvWkeCXZoaXMAbeNe4htmTM9jZGavwGBWY8JbEJJBVaWsDWyrEQL3MutzC0SgQG4s/alDQJVfcSJ
UhMrgraJm/mB3e8NAxt20EHL/r34Trr6alrgJU3/OPiMPLr0OM+Yg0jqi7X4rKeQqEqiThZ23jNN
aex7vWRLZvB9N/VoHH2LuRLpc/vSY+lP2OerJIG7lfZR1/Rvt/M2xHKoo8lel8qBWGJFNFWqVK3c
ifUInQ22J45FrIv+GI1MD1Ov654LwkhKYGEQoZZ0YOXVAorwRHaeJArRpFZwdVzDkMl95y3KSufQ
4SWLbhHJRf6+qzX7LYxcMzynsDy2AmPwqg/CZ4MoxLUzgs43QhjsIe/LzgYvi1hxZmzDe7d2yF9Z
8Ba+9qyw50yYCmu3wxoU4vNCAimTiIFAGd7583wzFhDgZoHXRYvEbe5G5HoZnHCiItGlyVA29FH6
HTXeXePCrtIkKkFULkBzYTJ7lXdPqOQPMQ1PtUNpxacYNHnzNAd9vKj1+Tawk2OfTc6yqvR3Y+Qc
LwsGjUxfDaQHy64L212da5h22/BmynRzOXXAPLQoZRALIiXbF6q8bq3i3SsHCPKq9PaowZMs/TCp
yct0/Bip0Qu0BeDonG2oyvdIFfIeFb0+gnsriZnf+Q6RlND0gG9pg3/DajbBV5d+u3QHs+hI8KNd
8OgbDBKi8EjRSuSqqfAEXlHVZsSq4YAtHm0K1YQwxIF7YibrTjUoE52KNejGUshSLky6mCSFfpQ3
3imkvylVo1Orlge33kMdm6BmaYaciBFA09Ae0Sexnb0t6ZvAFxZYpfEu+cNnqlorOeZHqZqtYcRy
Vc3PDl0YFd3NpNoyk/6sUo1an1abJNDpFH3GUbRy9HvR0tVKY4G37VRYibVE9on2K1+xmL56QWYt
DPpCQkyajVStosV+P1XNo1BtZDGNm4a+0lYNZp+w3cUttw9cj/MZlhogYvz9yRVDyXtNh2rW/H/Y
FQaa18ziUev4MBrV13o0uMKIvtIg2Dk0vqXGPw1phfH1/ahojYUZ/22/9lc9acAs+ff1JFhHkg5+
dP+iouTrfq8oTes3tQJS3M2/oSZ+qShtWJ2O4VjO/7J3HttxW+0SfSJo4QAHadqNzok5aIJFUiRy
znj6uyFbtiTbv5fu2GOJbJKNPqG+ql2qPmM0Geb9fqIEZiaZ2oDxxIGGMUv7k09BIwp+MGZ/fw6W
fiET9eP01VAl7i9IF7ZggKmRTvhpQNS00Oqt3OivWnXv01Q13uT1v0xff4OlfTe0JK+g4iKRPKyG
ZgKV+Wk2SspSj6K4Lq70HqQYJx2jZt0JdC2jz1Blb5iRV0N8PeWhaZ+DILCeyAhp8bWtGhAt1HTQ
qDEqqCjNd2UwkIZMVqYerqZQoKhO+nIckyvPUAj4KruxdsDw57eNShJ3DMRqKq2bIay33ogxIkiH
dRY2gr2/3CtFf1Hs+JX19UWhKKMtih2FAU+43dBDwuDiN/XK1pKdFdTlQgzVR9VamyIJe6qfpbUJ
S9kuFXBGi8bot2XHJZ2W1HvL3pZ6jV0ne/JNdafSL7nQRbEvh+w9qZ0AU7TEIJ++e7gFOGYXzYI2
Yuo96moNU5JmVKt37Ww2xhLbXBSW+jobTHTJoF7I7K4T/t7TtPtqIN+jhc1jnLJnBmP/VptyP8oq
W5dRwZF+6F2ntHTXCD1j6eXVbRUCFbBk3qxokz6lPpGNptavEzZhUm7tkxLplEtZAwd6i1oNrfmI
rBL5OtTyhVXmV1kuD1aPwa0A0g1ApIy2pkqDCgdRfzlELUyAQsNd3dlE1Vk7RZozfmLylLfKjdET
wU+15I5DMUlVO35W8MottL7YOSSJz0nTCzbveF8rAARUUUp2Bv/oN286nBSnRVxLe20ph5I1PMke
vYkSGq/EZJb7Yl/ZbeU2nbWZLOOtCPGn9WN1aC35ZtdpgKsm/LBT9Adf2pPL0feOrMeHDPGtleF7
WDJlEXW0DTTqmgUFZTkbdKfVryKK6BGXzNWg3+2SMGak0jXr0J6DIjpQK1k3/UoqqkMkt73C4HxP
HzeNHUkDqjKo5uHfrT80pcuJp11mHjZ2SbFCRwZumvNZjh1xpJpJ83ANBqd7jFUkj3A0PyJYJIag
nzcA3bDWhxjsM66fU5Ym1dKPwmLJunLvj+VtJo1iH8Q6TlGLYuw86HlYh89dlPD09CXY756/h2VN
z7HpgWQjwddF2bsUvbnuKvU+9hOEHoDUg0KvVuc3DACUj0axnyl8wdscB0tLF4x1Bw/TPWUnZq6t
Gn2Md8VXmBfp6dKDUsDMDypgeWf4/bQgWchT7iTxfazqzs6YsFyYen9XlhoptOI9JejDLYAG+bz4
IpqSuR4qPzcb7gNxD6e3CqNHfIS0bXicv82HzFkNmxEIyjHFiRUqyk3VRs6cNcQp5Hop0Nuutw+K
NRAqdop8WSfYiNDEl75eAErTTxLGMGlMrjZ0qhR8Nmd0+bnOrafANt5DdSgXLGscz+EBpElBYRKU
GFu+zJ3tfRPChW+f/VZC1570myoTq6gQNzmUhJ7uaLpPXFPxHzDpPde2wWhcPTg9jjvLvhqBA0x1
s4YAs/Sc8QtqF75FK3LjuolXVHosYyjnVl3RiMyYhKvK2QKaWpWgeGB1u4yZe8bs6JyRrTDsUi5j
Uz2kBNJXnla/1w02u3J4VOp3o+VJ7ExrrUu6hJYelFaMW15PjDVqR0VZqd1oPVhUoG/KstKWkQ9X
wLCLpjjHuv6U5hJg+lSurC7zKbOLWLcWcS4L/IJweTbNmFdLGygDgab0IS7rddX0T32fPNSl8kyg
R79WW2O6YsMr11VSvpSa2AWV/mXw7MuMQXASx5/bZIiDMTRxw5JSXCVKwnU6pc6dTO3x5KfBbej7
r4xrlWUf48+rUNqIm9JX7WUM6mQTPGca72If3IVhDiFJV/ZtVz+1Ip+Y02CD9WYuX8HPR0sNe8/S
iVkDWiUx3botpotCPv3OjLh9jqPTz35idMhK1o+eU7eubKx0y6fZdsukAUHTddtOND3sErq79DQf
Nz2uKvKegKT9hpEnMwwDq6gjtqRZr2hduKkxYqLubaJujqgq3luYM4SfTHFH1umpEsOtb1TmzpHt
E2ALOg/8yTt/dxb5G1/V7AT6adPFOw7N3bQ1OOFzTPt70xMezUKztbK9ym3I7uIS2XcmPzXgEVo3
Hv/3a/14iph5cZhYaEfFfkb0W1g/GaxqKAuN1tf9lY3BMn4ox3Wg/AuO7d9eYv737zxccMKTpG+T
/qrggzmSPwy6z7K4/X/8HnC/kNYISWnzqev7F6kDeiSjrO+v9OquzI+Dcla63f9+ib++LXN04M+X
mH1k3/0eDSMwX8ihv5L2bVquuQ2tOIVk1ks0/ssroWL+9AD8+ErzT/LdK8HJMTB68suUwFFExqxf
27cpyvOqS7mFTf8SJvjJAPf1GYDIa1BeQ1ErlqgfX67hFjlVjejJQD+JhogQIKLgMKZPX/9+/901
4BX/j7vG6b16e//y15vG/FV/3DS4GRgctblPUK5uWvzTH9q1+KSRP5ZMjixhfn/T0K1PCNM/4O6+
166lqlsOpDwO76ByfyXOguD9wwP5Vbu2MC1iioPnYNJR8OMToivQhpoyji9k4ppqj7+GTFrYpVJB
j4qtfpV+ndC1ZVReC8p5Wi2FW5Buh91O9WhInEXLXltEjPqCeeZXMPxjQaoO6kCg/smbdQyzyeI5
xKUtITkgcuCoMCIKEwvNAEqPFIK96TIo8IMcS3vxSAfBAooPBfJJZoJDsRBUMCFsWKYnqGDDA2Lz
F3LJNzAw+Qb6VGz9wViT68y3snaueew/urzSwDOlRA5nNafomxiocXqlSMIWDUGGmZx7sRGB4DXP
s2p0IX9WiIbK3nYmhvw0phYVu7ec1aQ+p121mxWmPC+7lTOrToWeJiunsohO5B6CURk8tXHZYAvB
SeTHXsyQTKXZJcgSlFAdA35vNsEWt64PUYb8DQNbC8P8kCjJlnJaiKiYrDe1EMlBLTP/xmqs4dHs
KmZVJBIW9RAal5ChxtIXoTjTBMvtRWpXgBkwDdackcySYnaOaPU6yFMMx13KS2uRzRZaNls6jtFp
ggp6bycGOLGxhydaVJTMtI1+sIsK11XqjMR2a9oQw720FFPsnLhW4rWGD4xTSixeBbELt4Vsa5VR
dAqI9LWezQiChEeQkfRl21yr1BHIyAGO8bWVTq/id+Ydj2UdH3MVIRwvyyZB51pahnGqHOVUK9xm
gjR0DXBSQ0ByW6ueNSU+Rn1IgECDT4gvaYWn500iJwElOmfpgHIXNFbMdGAMtZVOMQ+pBiOIppMw
VBzvcb+KiwhVR5J4icdg16bYBTgwZ8ykNXuVTv7bNPThwqMoknPxHGCdsYQGIZ+lrIw3DJTVwpCw
jgatIVsRDKtWNC4tt/fcHwZ3bDLDDTuanMax0Beeh4nN7DGqqAZSoQ8tXLVpbQj5nxHfNxDOyiK6
umQwzHzIAF0CKAdoUxB2rjqoZ8sgkBWTu12MRUw+Um0OJmzZZWOgQ4ZJDZA/1T6bA057b8xvuRUS
6Bh7hzNYbYEvRF5DTaVQQjrMWqz31PO/EHlOCB2jNUYjR1klumqNrOcZ0FZCbS3GqGO6ygUxsizv
nbU9Z1GE5ECoVo3vegbxTeTIHId9GNHjtc/qJr/7b//ATQf0mAPeP2tVpxfu9n/dPuYv+mP70Ig8
WjMhB3MytmT+6Y/tQ/+kohPNXmJHYOXjn76NPjFAw8jF+gwoH5FH/270aX2aZSUw/eQLoe3wT78g
VEH//3n7sLAk0K6uyfmn4Bv+uH3QmkVcQaF5Sk+Dh1JnNpeMI6bXoqSkd0rXdmluCJdAGlWW3eA8
cFD3F2rLbTB1zLvIJtSdN7s0ilZcOrzatSwMrKtwrroGDCdWuaZe+0pW7RpEexx3SaS8akmOpJ9h
qwkOltfBxDcyFfNVYkXbumE+k9Lqcq1m0OLz1rztYxOOFR5SIhwAeDLdLYIJmviQ342j8sAt415n
fLdQNVZ3tWIWpowk6u09CzTLZf1WYW02Yj4yPjiEItKukLAftK7OqMZDBfaa+NQVcO5bL/sYK0LD
AYgNciW+q1VzvEUbLg1E0jJhsGV0OpjiPPhS9unkNipJKWewV77aYGrKA7GmP83yCjw4464fchCH
vX8QLYg2yBOtgAnIJ1YVFI11aYCoo3WHqiseA9V5VqSFcJXotIXXq8bgJhhOOKOj6b6Bk9m1ojgL
j/28yD80VbhdFd44AMcWHfCFwk93Ih0f4ro9KHn3oVaMT1VltMBC6i0ppK6D6xA3FG/F27JWkDkC
c4nRRXM9TW3x9wX2RRuLcTmNZbzsGvIW4DaWzcwzyiNs6Kk6Kis7jic6/Mi7m6r1Foz+PtPFuGm8
SGV3E8vM1lDX9W3bVhcvqZgI4i47BWVVFnDUzTbdsBAy/MZIttObalnXxoltjGFczq4YZN1aUp4e
c6uLkwEncsuQMhtefJP8Ed9zCSgfYWqWoQJor4GuvKgVAmvV4RoWMaSA2nnneGKfEH9JrKn4kbU2
MKGU6CgpWXXL3i3PWpPmB6H5eEgsqCNT1W7JB9JibsK7TDryREyWNxmBuXXC838G8cYAQO6Usn7g
oLhVW+2h7xqx9INadZtaE2cc39GxyJBQfLDKq8Bgu/c6zNTZgH8OkdED7CfUczHo2jXCH7PUuNs4
VNiNvb9PAVRCltJe6Jw0CCeN4cXSNbzihlyPdrpum7p3aQJOANxlr2Odr7UufMrpSqCONV75wESI
oY3JRUpUriHdfLeo/c2l9y+3RJUDq2FwFQX6PKeJflwjCn0AUqU44pKk97H8Au+/T3e//BKUX5q6
VFkjUbY5ZX9/rRoLf6ij0KT1qn5t46uxuMuc/zrRfgvcCHaHf96jdmnxXoUvyd9sU3zdt21KMDQB
IkxjioEK/ZUW922bEuYnDtgE2bXfGk/5qm/bFEMYXccwI6gwZdJisoN9c+hon8w5Z0+fDJMQjBy/
dMshwvPTNgUuXhoaxACUl3m08pMWwnC7ygalHMnPF5QtipgWt1Nh0b7yoU5TZiAnN2rDx0/Hsj9t
czOOe0bwQ4RKY0qAxRpGOhtkx7YSnTUuyIG9+SquP6w6L1S93HLaT69YOhj6TiZMZYMkJsOi+pSb
5geIUFTFVCMCndFAjj9aX1k17ZWcFS0O6cI4TpjZdkqW4FGhywEe42ASq4kivzpzhyDTgD+UcEN8
AIORuXXRj+vKQLHn6oYFhBqVJa0txDWIFp1lN+6JXx/tvPEOaQjBPFYcbHcOJCzmByYd6jHopMHB
yAFTFcsbOjYJbatwywHVr7RbWj2k8pygUBXmkO2toL0TZqAi6GKixKxZkAAflXMVmW99hphZ5pbY
5Eb0MUXRZxyZIFhkJ9Jd71E5VshovMeI7JEcCE4+DWO7NojeG3/SnpH2cSwQG1p3ZlK6Vp3AjmF/
JP7uZM4BFo1Ymb2q7LmFqUcjBFYbBhrw/6o1j5VlXdv0aN4y7dn1wXinFByrc5nJjWrn15aJo5wW
GjrDVGkiwTOpmmLMsVLtOQiMsXIUQQtqaKwC47krfNIwqh4fGg+IKplZBeruYqoYAF8C3rtOIyB1
GgVzCc7DmA9KQqUqZ2/bUejlsp2SSBAXOuCvzajdKVqbhDuti6d91WXOJYRZUwI8t3GtOvwRvIuD
gRUDaex8dMKJjxpZHuGn063s0CLdrx/a/xQaHQXtn1evmTyyzxm+/905e/7SbwvY12CgxULFte/3
qe+3BUwTJANNjtGEAy2J4vLnAsY5m2M+Cx5sEYrvvrcYWp9o6vj9m4HCMX7lmE1q8af1ywAFQu8V
JSZzDTULx4/7G9EKOl3lWF1GSkZR/7VWkAbKoHLtzDbILqE0T2EAndg0qo03mcZ1OUKtmnz1Rvfk
TVy177nK4zcMwS7qugPpHpBy7THm2KR00z7JxNHOhDtpc+ugHF65zR7pIGLS0aZnVKy151vHOlDW
RNqvzSi4t0YC6APxCa98xx4JstHG8JjtYpDUgaL4BPUwAdvBQzXSzSHVa+wy5xY3c+eo58HqKGMx
h6NpTxujEsBy/XuD6aXCb7RKqv7VCZuT58TrptI/YxrfdE2zzzyTdASLgizBBgRnB4ywM0mOUcW5
1Rjn5uWpGrRHrlPbQIizA1BBiSkhENE5V8Sqawkp0JsVqN0zwMqrIGhPVCwtu9zeyL5dwQo4Vxoq
jPNRV86sHtH1xGK9nxz7xWOl5oDxiCd+p9SO2xn1TeBPGyWKaA8krVZUt2MN/ssbwgv4yC3amSsi
896o0+001jep3bxmGsVbdnYOvPLYmcwz5k6xaty2zERmsgNe9bMhtNXkOTvdlzcWHvOFrRTbxqJe
WSb9KW4t6hPGkkx9/KLnErA9GnJIf2DCJaFVmiM5GnfyOyAh2bK2lJvIGXZC9R7krFk4+srM8KMR
smMmwMQ78NRyaaXlKbST2d8P6DnBjugy9H+xcMVAJBg2NsUz9O4Wj5pWBAvSkK8kn+AEVJWvwoZh
WjOtvNquom2EcLJrvlbYyq91tpE0M33TVVm4dmiicLuh3hH4Ujd52SbASIqbOG+KPTGAblmXMQlW
AOenwZgIVZFSWCQD8g/ZCe4Z+hTdaELbxBpuBVSJbUQLGpEgxwbhCUGQ0M+0pGqQYoXCKleNrUZM
/nu5xSRvuLU53oZyLF1ckOTldDNm8NcAZS8Y8vV+fW9zAljFJj3OUcIZ2x4Ld4o+ekoaF44yL+fe
Ww6mndnrZYIUJ6v4jJzVu3HPvDnx3sNJnuyoeVR6vu5UtTPyYsSKUBZwQ3TTJ0mXX2t5+tC3DV7N
2VHucWamjUOC1Cjkq09dGXREKjeLmvaOWjqwuec7xhB9ceAjLDpJkKzrgtKNNfvdL2gUG7V7Dt7v
/PwB/mAV6guMD1cvuGQHqV64RkZ4pogh2nSY5IukcrFFXbog3dtp/yCH8aO11H3k2Ht4uSFJL4Da
fvBAkcGKaFB5hlBfrgk5Bqw4innKE+82KwJiF4iCAN9mwKvkttWL7An7HX/lkoRPDt5QHfrKtQI/
W0fxsPMU6DXYlhlFd89M2MtF0gwXjlqvM1hlYMOD5kjecrJotDM7g69MoLFXbKilhiKVTJxRtI2X
a09NSRMByxSoSmMHXb5etGb4NPo631yRb6FXpq7psO+3zauC+wDOCIcpT3UpkH4kq9stR6fmG7Tq
UnKlhouCe6EBND5VxR28xtRVo3FcDSbv++B5T3rCbM4rPIvnS1+TcSLxQPkLNpd4RAvmY1n1ds2P
R2RT1eiM93x8r8AlQYtxz0zLHdALk5+t2xdwHYcUQXGcQLWkTKgD9Rw03UOmqvumt+EDKhA+QwVc
fotvLw7U295vDkYW3FE0oeIPMN2sinChSmKY5qAciZvSpz3G91CaaMNNiU0mFnaV2yCgF7Dqaz+g
u3SuoiipMFeiLtjJhhNo0slFptrKRoUitRgz2ChZnWLWbLU9Zs/rAiPAwqLj/jrMYQX+dxb5qvZp
//Mscn7vXr68/PUeNX/Vd8cQvhNFYpK8g8l5/Du5j2kREV02f4m9wZpDBt/uUc4nrjUcMkxuOLPa
x+332z3KwZcGF23OQWAkY3b6C2ofd7OfjyEWvWMzTYPBEy84kxW+v2Z7bVjAEwzHCywXfeSooHlj
vyDacD9MWr9QRyg5jpYd7Sm5YfHjFJEoS4smBwSXRF/gm1UXVuPwiDkXJpY5srT56mCfSVrnYZrK
e6K+Hy1M6lIhkh461nNSpOyAtQnDsp82qpYec7L3yw7gIXRb/dyrZUASQJULiiEfTCY4NH2YXLS8
cqnR9EzmyniKE+vBH6dXam+yJaymLfab+zhsripHnkPbm/PZDH7j4T6nFOfsdQ1psjn6ptQHYUcU
PqIspUPO7wzd1dYxY7e71g7WXGm9OfO4zgLlkXTgkjK4BeHKc2L762lOpmcW4SPEeRxvPSV3Ycnt
KrHna9dCSPGF7otLHRMB9cNypII3ZZgAfVMU9XIqBzoNItY1EhjoQpkSrRzFeE6nGJM2FyvGCmqy
t8jqumXPTqhQyEvpI7CivnMTpo6ug08Ii/mE0a29NUeiy1NlPMx28njph5W8dazWb+bliuYfJiJ1
Pd2LvofX1tmkzV2DRSOgB6XpSHSOwBUpLPUT6Xo5GWIoP0fbJK5cjxs1GbZT30G9rUFpR76/GVTZ
La2JjkXPEPfSKrplatEPExlU1dTOoqPgc5Jcl82aByfw2vsmyz6HyXvlUXtAWSlTl3pHGeJhqEhV
mFFGRyEMuSAuoMBa3clRcf7Go35gcPY4SqjwBU6/1KAmRhjlPZiJGz+VN4Iypr7ody1LM91Q3jY0
PB0WkbelETtf+qV+oFpEsMUX1m5UqAMCO/agdJXNME1Z945GwLUjcckxxPb63eQY8ULNC5MxV+Y6
ncJxuSw2IYfvBcrBVaZ5a7011tjlYK1X7cOUJI+JoX0QoYQAFZVP3EyPZHDuRyt4ph3mighauBwa
yEbZ9FRXWcq3D7ZID9aSWAp9D80+pd16qUXTUwcGHkTuSzOGK2ydBycKXdgGz1AaGg5IPfFAlbRd
Us3UjOo+qEksFC0dGKoVH2ISD8XE5aGxnkvmgYRqzVPFFJUTyAau7aMYlWGjjiO0wPYzwewbhPa1
RX+kDmJ2KFQouOakHXFlk2UwM5jr3VnTQW9lX2JUiLaDyFHPQfKwn/MrUri5QfgGSdJWwSo4PQeh
xqqf0DqGJZPVlxTkPd6XGLAc0X8BQW1BXOfOnEluQ06TtV5Zd1nmH+xSfZ7s4JQ4w7WOyUiAy1g4
pfMF1Mg2dWC6mVa5I2fPA+jdJdE0rLxIezciau3DTtzxGD9ZDT22wJ1pvTWva0f/4tBGtYqU/ir3
mG2mtcC46GtY9TyYd4kZOAsb2R7lf0hQdpybmE6wRcAlfud1gboiGNqvM9N5HbzmJU7KKw+m4NKz
DM8lOe8t07F0VlVkHNj25dWk2xvk8oBZa1dGt0UmoBHgt/dj0vB5ftQn/1VkYt9SML5NPUdZNbHG
4cCn9qWA2TEmNiS8uHkHQjGtWiuI3Wr26VFq6+D0xL8K8IPpnoEN0ZPVcRLQiDUBjwKrV9DcVFT5
UvWr78xJnqklPeQpv2UYly48FzivkyLd0ffdKEhbymLkf/LD7+Ipe+0/yw+7bPwbVtG8P3/b8IXx
yWQzR1ggQvgjq0jYME3VecSH3YPxHprltw0fcQHbiMYoCBfIb4zUbxu+8YmJnEUiEeM4LnbzF8s5
ZmHhT8MaCTzVYY44jxn5KYCB/bTj60FSCL+zmnMam8E6z5PQHfIUu+71qHUTe2ToBOgNK0lUMYCg
2zFyNwRPHkRdbcz6paSRKzmUNvsbqReGnAaRsd6oWMUHs2xxMCaBvhEWBlqEOZmEtMgrXtRpruI5
efZ5qsxWXllt61SZa6lFJw+DYfSsIHQNRvWLNTUVY64G1HdNbHyoOo73AgTMJqoLh9mRGuz8oaLb
r+/lfZkXULnBEZdtHhsLGUe4t8u+O4QjXBdSb9nZoojrRphx/6pmhgEoLgr8105Wwzqp1fQYmnGO
Wzj3zpHCeAV4eAAIh7o6dlp9xCKjeTtQBtzUM6s/C1jJbgVMB8IiV7RB06oXO6SXImnI0C8DSAy7
gBK/O60vydwHmfHG2cnZdEHSY7KmLhzO84a4nn5jT2qyGrjBcNNXB8nFt4ZK1DQgbEx1PFdqFa1j
CtLXshBEv+saoDwbv/7K29RsSxqA4MQW9IM7TqB9xjMzXQXThPUl1lrtNcaGe0CG8Hcj/RhPulHr
Ll48iBgF3tDJTttL28Zv/EmzXcmI6lYA90uWEb3wJ0nV0QLOY3Ae09h3/dEIz0ZY1xvHSVhhUU/O
UASNbVpmmD7HtCLq6o9vRO2TI4Dp+qFN83ZdOxGCBdvmSddFgqAS1DGAHGahYijNazzXyhrptb4i
xVO4pN/zA0HU7lDX8Z5M7bQCGGmvydgNH73k+mgXqb8f8hAnhBFZyin0TJUC95oe9HyExtM0KMjl
aGMr8iH0SMj9i8GoOJhNmuPtk0oxH3COP9JcoB01lIoLP763VgAQnupcA9RRVeplnAI6r+0+2vkh
gakcHj6O5mK8CSq7dwmmlqsxbIeV303euqZewf9vZf1tZZ19nv+8sp7yrHmv3se/uU7xdd9WV1Rd
LAuUBcMzZBH7iSXtWOTCucegqn6Vbr+triaMOGIxFnMsHeH2j7vUvLTajsVKbGG6YNz1K5cp62vA
5vullYoRJqLg6DDyMcL5+TKVFqwiI8SHc6oD3iyo6XBz1Xq2MAzlVvuoNeZ9PF3T70A7nlhppX3d
Nv69l0wUr6EgLwt0ozIbT+YR0P+b3sf3KeR+l8q6aDNWGSh4yhgYD+8g8W9Vn7WYusC1Af1qGaAk
LDEBfFayrngVDRhg3Uv6VSRDj+h0REKSkiPPr/bZDDqIZuIB5IMMAsKkNESOQSL0YfkywkiA4vZS
meJpmOEJMExPRNrAKcxghQLCQgtsGtAZ0IVRtT+HM4YhK4S3Er1huiqMBrzkn9UZ2iChN3gzxgFR
eDvBdejgOzikYUZ4DyiRMfSHcsZAGFF/D+Tt2Q6VbQ8noq4ARlha4To1rBlgEoLqDt4J7izhWbZo
RzN1wguDLzkYClQ20rRmf3ZCAE15qO0k5HuOw8GYc2W89RGRabxr4udyxlvwI264F802wvlWBQKj
+QrDmLEYnoSQM4MyOtPhYgk7I/KUoznDNPIZq+GF7arPo5sC3gbZ0WktZwQHlUTbkghbNcM5Gq3G
Flapm2oGdxgQPEbboVpKhTg9wz2CTH9vZtxHAvfDg/9RG/6ETbJ6RbkJ3Vo1jwHZmRxmCJIVR1Yo
IqQiLtjgzyl0ETMy5Bz+PfY+/YiwTi2De0gzI0mSGU6SzZgSfwJYYvagS5JYsr/MOJNwBpuEM+Jk
nGEnTUqUtbFejELZkUpv1m2tLT0cIoy8xuveMkG6iXBplvrbCMduSVPDTSbSyA1456juuDdIhZaE
ZFaqZdrHUhG7xM5PRUQiJh0egrp+LUpWTNGPnjuZAGPyqMVVVxESjaMGXCtkQe6tj22Ij25C8FiG
QXrtETwnpTNsU8EIEbxqtphGsycdsdO1kOicZX/wfhzoE7xIuMcxLa2GSICtUcFZdLa2GBMdaHD2
ORGQl0V/yietW0xNtieyfVSJSmkpILYEYqzd2a8RG6QT+GAHtGRh2vVdX4e3Ravch7m5U7N831by
nZHvLlb9i6Jmn7M6AaAKnwpC7VHq1UFv81Pb4aQpYqR2ChsHD55Oi7A39VsoJztRyTWlUdvSD/a+
VOm54ZJbJP2hr9UrNZCUik2V6/nNU2+RTqrltA4r5o8tY9hxsvZMLm6MsDjEYbeVMZDmMUlbhj7a
RUJY9GHYZUX3VocjbUG+dlvn9SN4twMXzlMbSDfwx5tMTdRFzIc+TgJmAuEjIPoNOL9taob2jhD6
xux66pWtBmYvqi4nW9ye/g6LwHWqdLDJGSoELfxhR31CCSaspiaJ62jtDa1ocHJRtScLHmA2pU9Y
T7dWSxfL2LjaMEEKtLMTo5jPk+1segXPpwPUKeyeM3w2taF+TDVonxC/51R7TyEFdYR0JiVLb0jd
AWu3wYOv7RxI4Tjo+h7SwbSqzOQAEOgooccPTUtHjXAQDoKL7JKD56NhRbl/6j3u26GTvXaAixZK
lZxJkG3K3DlXGfAB8lrrtFTFKjTEQyja4yDkox4ruKqi22l+C3XbeC0Y3ea1T067PwhfeRzU7kJE
46zC+g7MOT809i8aLbPLsPCh5pQM3Rvei0pAYmv9cFPa6edC10+jkwJVDCt6HaNNTF0QIwzxYHGI
KetuAcjepZL4mnpWwJDyjhwb1aXTKzTp24nhyDEzymKn+t5NkWYnZfbHedAl5WR8FoW54ZS6kDpl
2FFjylXP1Gw7T4M0zX+PR7AhVparhxFKteBAuxawwNZqCBqoRNjmoSiW2kCLrumr2zptn+o+vC2z
6Ti2/p1X1Vu6W+HS9fZDRrsTvzM0qOSxKYNuN8ireCaIqx16hknBSTrAuc4vfePfherEOMfstkoy
bZrJ3lW1iTVAbCvf4U8jLiQTs0VAW0zXarfx3OSjYlN2bSrdFp2gfUQ3T3XCfr/CKKtRcNKX4YOR
hg2Lv2kdtIwxSGon3ToozUVaTgz07I5P53RkpgCDuOJXwsa7BW+4sfzMubKB2nPD7rLVpITlQuuY
UHKPZhJDCJlqqhXDrWjNDgMMytaFW2iz0dbHDt5saY3iqpRgLMs7p9tHNBGCYxo/sooBGJ/iRUxR
0VKH/7bA4WuvDHSijtIFVx3NeXLCdV8EzO8WaWTSYZj6R3z6xSUrRfMUCQtGpzFVCm743riu+4wR
rj3hQO4TSYwL+77A8j4l7iSUY69X+64Ir+CHruUQrSg2eUhL78YvyWKWoIotKoy0xG5XaEtPMAqj
peX3q0oQ1wLyv2klrfV607x2SKEitp+lp5+6fmSTCant7taNh5Sg13eFCqfWtoIXVtYHVa+2Xh9c
VGN49yL9AGEBYzJzRx4kYoCK/lRMxsEK05MXJvrStFLQL/FaKdJ917JFVyNZL7PyLpEKUy/Ob5qa
8SA++B0hwaMxhFtRTegnxS51+oWRq7FLWQ9x/0i/dvr0tsFjCid+dNMsu8sSGmZTJT6o4f+xdx7N
cSNd1v4rE7NHR8IDEzGb8lUsRyeaDUKiSHjv8eu/J6luvSRbLX2adW8U0a2gkgWgkHnvPec5/VaQ
le0a6pyj0Fobym3juWslpky0ywvwLcTF6xcMxHcER2Lzd1axUzxJrGIU+5eDx0lhNAtGtMESzuec
HulzGrh7JaN64aEbsCW2bvIEf4iAEKqlXIRXlaS3abSHUcLM9BQWxSCuazlLajLYqOOgAg7x6c72
Kw+Uoiv1kK1br5pI3aStdt85BrY/dVgxOp3reAY4WpSzMCP2bUzi+0RnPKuaPslZzO1iRoWtn2yV
Ivrkut5ad6az6LQANIF6M/YYEqLiLlctsdBTxDZKF371qrzDKswMvAnoqZvi6Pn6I3ni1jKMiqXh
2evIDbduKNyV73uETk7PxWgemwIuOe/3Zm9pPCx+3puweWwaumOhLr3Rck65mu8yg4CdxEGC04jL
xCD1jSQzcBv6qq5hzHpw8WYVxfUmGK0Hs49GGtOg4NFwgut22oXS53eMhC8LxXrQNIqwIqSP2nF8
EVa7iusumWc1n5pO/saVr57S8Wcd2OSNXxG4hR3jUCDth7qIy1CrLmhplAvNqgcESSnim4H53Vhm
C4P/GmMAsV157YdDsU4mJEw20oKxafdTJXdt07gfVL5oEcL+RTW4tBJG46jG4THu47kRGQHG9Kne
Fx49h3DQ7zRwJrueSCu3Th4IijQ28utuIV5mrs1uHled/uAEhCIVxqXaD+He1aGXqsXWL8QN6FXC
SEwBA69d+yJfCMInSl/AeDWqmW+mL5heINnrBLDozg2ZBbsQ/kvcWZwz+2EJl+p+VMsrdyilKts+
Rqp/TO0ITKIxXqAu/VQm7oMx0F/gPXxh6lEG78RCIdoYD7g/t66M3UDAm60z+rsXSqmucjVsFgXp
fpsoSTRwyjK9xTdkksugRhplBAg3woS/xb3EuqUstW8xMG8qvl/rSoEjMF+xNHpjcLRpcnzoTWmh
EDRUsvAEnhUtzKEG5Okav3AfvvdHvZLwWcRSoX7Rd6CUfD/yir2h0vGthicxos87CCVAm33T9Dc/
/yw089702f5cxsZ/ZZCHiyTyg0bWE8KlChAc3LWXPr9V9G+4+Kfhf/xnqCjJ6OfZf2Vtes6RwNX/
+98/+PehnqNSQiHL5fp4rWp3JOXQSpNT1vOgbRyPQeX36vv/89+n58gV4kKZADLeXybfhpyqm2V6
IvIuNc/mn+rbf/z9P/gmv93rN9fnw702rFgNkI2EJzAzCoMfdVXZCyOcDc9J9K2j8jtL2ZTdmCcM
BKiMOt9/FEZ3YiLEKD6JaINmvCH+DjKaQeA2pM7Zzy+b/LX/0wN4ve3vbovUrb6xgwo1TEkySpJT
oc/BOZnUXc1CZj10q58v9IPr926hDx8qsyM3b51vC+mMJelFBiv2EbkVF7941uQv/fFDuajREdpC
3tM0BHNvP5RuEr3JxpudagjwyeduWJre088/zo8e5zdLfHzcJgZbuY/F65Q5nyPvwVD+D4+ztLOg
P8Zag3nz/UcAxG42BvHAJzI0XR182hjNf/4JfnCRmMcLS9o4GfVrzATeXqRMyTjfW2p+muzPvX1s
YXSJ5vrna/zopvMQ46EzJDxRyhPfrgHurchGeM+nioPfOHfQFpuXaG1ypE36L57kH6xF9C0dYZTe
tvpNwfjmSSb9mCYbo3CkspxJlmEO+2Rpl7OcM9bV68f6V8sqnRHfX7qLz83n/3rOGorW4+f0+X//
e/+5rp9/ZBfjp/5qeBJszKbIU6XpGk6Id1nvhOfJ/01rBAn8qxH5z4YnXCMVSqYlUJeyNbyTsbp/
oHu1+BeBFZAyiiDlNwQkjJ944v7zasBtbKr8YvyJwkUYRMi/fyJRYA4kWVn9aez12l4GnUcYE+js
kalBiNRA8y6aKSYlZ0SlGn9SW5WAKVU4YbMtplDMhs6a4v03xWGEJRPIZF9kOZmxGdaXJ7LxQOQk
ReVNy8avQlC7Q7UZLNV3X1xBjwiJZg3Qpwltw1t44zRBKCvyXgobFE8hvMXytYmWS9yDAJty1cAy
3/qDukw1v5qWhq2S4S7BxQwgYlLEREzOKu0Mw7xNVJKEV7ZebUNNxUOZEY+wKQBAbgZ9bFES6s6w
8iPGOEvfx/28pGktNgFQ9B26lORLSPz7woX4puD9HLulknCA7FLUbghkiE5I8Q93zM2+oDwlw2xK
AX/gqaIOLH1jbY7Bi9UrxizNnJcoSwxKaz9d2gV/VyiRPOa3kHPtvL8IfLjYDiMyRCf46LAcAISs
lOyLsO14ppGATkQFuvVZBf4PbQhOBrxDYuNUZB2GHkhc1ZHzmSn3d0WlJGdjRB+YDKqLUDR7ju3J
XOuJ7i+J3TLWdd5Q8tWkScOoJLHDbJNzLIDxlC4swqLDZ12W/dJRckT9jv4c0AHe4P7mseiQDKWk
9i0JI0RdYSlfUDL6G2tKKENdRLtBVb3YvecBIma2b6dRB6+08tHCNpq9zvO03rmmiBaaEkQHfme2
8dzKd1KxGbYRJHeb5qhp9+MldZK57t08XdYyVDnvUyreCllz33owkqeKX9PR75MsZmRfglKsKkMQ
6AVLE2IrfYwCRGMLTmRN9kp5Cf8Hg4HfN5c2Ek5akmqJ0HOEzcPkCDipcDmZd3REa2MoloNqtyC9
CV/1hizeqAmw5dKL0s2/r03EcrxU2Dv/+bV50yafq+e/z4nkT31/bdp/4EtjwK0TPOpKU+x3ly1v
VJPBvOPib2UYLpNK/zMnYmpv24L35p/vxnejIrxQchRv6Crz3995bTJq//DalFN41cDLy58qGacf
jonkeMIDYEh6nBIyVQYy4egiUtDHDd+LjszJKrkj8Tacj7l3COXk0VSBCVdZd07rfEs0gTKrTTo9
blcumLFeBG10YOYCv0gLr4WIv3aii1GKdoinlR5EUa/RCZeZdcLyoTbQeBrEXT9Zj1pt3Lsl3zEn
cA2Od6hjXYUsGQOMUdkHCIVR7do+ZX1I/8F0ssdizG+7ADlUDt8T3Y+FAq3ZZkN21zBe9bLxgr7o
SdfDQxcH+yYPH+vcIaMCdmulm0+wiTDq88E4VoTWmly1HUihh3QU45Jwtol/doznZdITxtbfjlpR
Lf2mXxnGRD85QivIeJpum+J8pQGJFCmx9nUD7yxjjub45tKMnSs0dF/L2j2HJskmWsnESvhRs/T6
/ugU3T1qoycirh+8UjvVefaETRKibVwBxsp6e1Pb6Rk1NjlGUPQi/zHR0H4XiVMsSIdPkJ/lT73q
HmKFDjfhCP2seAUxGERrgFqq5njj9jS3kL15+8ynZxeScjHm/UpU/c6HGOlr5tU4dS+hET3baXWj
ExyKHP4+9cnEEMgMHG6Si2d31vcMRjQR0ayUQ3Orqw/k9rwknP4XnoLqHiHWvK2iGj+udmf45pXR
MHBxwvjG8LWXVrO67RjKHzfbdmXo7X2q0HXPsRozEcVISqYjsIhobVnJQ25EcCGK9qgFskER28mc
7qQ5wzrG7hCvhA03mZDbddkEpN7HRTdrC+5a2uBN1Rj/tTLZSWa2W1It4NXFReilJRgcVARVhKfB
7KcrO+HNnJmrtjQYK02ew7+Ehlo0NM2cqY4WCRG38i2uwFLgIR5r7mGqFT5t7emafFpWzRyyGbuV
J9rrydF3ZBqBNdWSbFaXHoKFhFxG0j2fAJneO4AIweQUX4TKqDHLvXnVS/6HCDdWCfsqV4KNQIu5
UOw4mwuRr61RIEgL23ktFHfTBD0tvs55TqNy7ww5AryaFlrlNjCW6UZqcImXforUtDQBBpJOwtNI
rJXefIGYXMxFhRrUkOqMFETFhUGE1GLAeuRvE41R6wJj4h2N3KojrFcGanEZCNfSGtmxtUJTX1mv
8Vv2axSX0RQc9N0qwUuoQto7w6oLrfNYEnOol4P/ELbkbSQ8QjMjMLxjQROPiQAKMDKFhOlvAtv1
r9HQyMRXc7gkgneH7y3Ulzh4dHNGRTktBseqyy0+AtDLZUg2IdMePUkX9YiQtU8u6TsM5VpEunYf
97Q4DklWSJNGEqiLwbKfhN8y6YutkTRx0jQkzM6LDbNknqHZ/o1o7KR+0OiLeotAn4jMKUVqeY84
HAPjILDYKzN0gW3xrUD7t8ow2ML+ebu8bj5niGA+t/Xft0z5k39tmUgrZBVBxwpHrWW/A1PASeWv
cIUBPXqVoH3fMp0/OEQigHaFDYpIqtO+b5n2H1IDYcncSeRw6Nl/Z8tEBfdhy8Qx59DtgrlEYB/F
Br/629qXZFA9rkAQndqRCc8h0gozOrLHRtqyadLkbPPqbebELx9NeDKt5MpIwEwFaaZTkR+narov
teohGfNdUmdXIWyaRkJq9Mg7OFBrwBHHczRea1+nZQ/Bfh+I/g5B1TPesoGpj0ZODUhjctCmFUhl
sBATHCBgkQvNaAEpoBRqoOgM6OwXld5l6heNI/4AqD9Z9X7nqERVkV60g13Y+OtYVaDziA7/7ywl
UonQYUXovJa7YmuHdroubXdnMQQybnRYpSBt0j5qEXv5gbGvorB+iHovW7TQHjRgEKCMSBWLLmxO
5tE8cc26X9oVtFb31ccVZ3ZHNfTq70pfvV40k7+0VhowYcrubGkI4023dl4tYnjFCi/3Fra0j0XS
SCan3KG0lml1A3CSqU85IQEO8J/lXner4UdTqmnb4E/rICJmXb81SKFBTr0fevPkdswGHZxtVaJd
jXX4uVDyCwxuCpt9e2ilGc7GFedIexz0+KuuVbYWvrnMK4+OTEjWq1mq9Bsa1bsenx0HqD1+4mOK
/67N0U7gx3PRiDGDvI3djiQ6e+OR32AFXT0rk+I6wdFnZyHFoVj3OP2qBs3+0JMvZ9ylNtoMHIGu
U+8SZiZzrDzaMnJfMjVfGngIdeYovfQUFvjR8pr5Vn1GuvtAbsrCZqhV4EXM8GpOOe1SPIquOR2z
2tjUeBenPj+Q9TMz0uzIvZwXUb9y8TpGCJdrvI80WdmFm11kEr9iiUfNjFZUx4eC/cPPMU/KW+/b
UBsrFTSrunZwWarSbNbiu2x5e45ldKwY1Jf4MptJuTXxaXI+oAbEuUmo+7bGyemEDs7p8tk16nmX
JXc2jk+EcFcEda+8wtzrOEIJKDyKqEMHMar7Hs9oxy9BzpEKgULde7hKaRTNqwBLIm5TJRwuetyn
eZ2WMub7ubK1q84drippVPX8zry08a6GVo+J1TMOo6nRtyLBYZsirqbw1HKJvSRPYWYO5UlYJgNR
HqmWMjLpagWyY18sitr9OvrDUQwgYVN9D7z0cigbazEwqkR4Yy/0snxsopHHT7dITMAyUXbjStE9
lKbJoXdpiyJ2vIl7b6krdP5iA9ywhgoTXz49Oj017LkSVIOMoCKyMVAP8NavDGD9uFyZ2EcDd7yL
3HNUKOuaXIkCOdSmCGJlrtTMXQDuH5qoXVPJzk0Xo1wPsJ6ng7ulaZhi2/pcEmcwz4z6gmMiWsmx
vkhSGt9evNdLtO+6ZLKVx0JjeIdq9KkA0LnSJmUhYY8Ljk1crMa6NBNnmzeRvqjySJ9lEkfmTRh2
FYa4udA4JiI8nUGs3YMIaBkOkq6u5fcNBc1s1NIOhvJ0bKUZMw6/WnoZ4dbUNl6BbHwgsXOWRd0V
eXCfGtfaKRwVHKVNVjiAOcKE/YFKZsSwyBuANPhi7hZZu9BKj2CvsChXUTvu8xJ9KsDoUxyXt53V
YmMNhhvfMnneVexo0llB5rOXcGmCEn0turZbF6LZ3A3R5hum0u+nHG1xYFrxv3v/n6JKtsl/3vvP
yeen5+rv+77s4L/Z9wX7KlSnV9mkoMP3xijPzAR7GkgMkxHTm1LZ/YMqWIc6pcGcYV7HT/0lWEfl
rqqMvWTrGAgiEJDf6DAifv+473O+IBxQkzhDjb73h553N/ad0Rh2f2qgzuDsjO/ybrwiOoE0A9c/
pWoZPZEsk0Fz1m8I6sDrpCveNUPrF0I4VxxajNmkKygLYPeLLEEAYqP0CCvvS+XH6nxI7IpiIbsy
3MTHN5Z7677jRJAm4KAK+0urh9dWN90FdPcRVTTtTCuM+ZAHKY7wYqcXoDFSm++P7marKdGuWWvR
NyppZX0bUB6MKjxhDsSo6g9N7N4yb0MoFftfoxqpNXNk8slPgV9vQG7wPkQOowVCrEhIIj3U6M6D
hsiIsYxFhQPpKE2gG2OswV0318s22mI95L2BG1gNmIm7DbAorHDOsh0LfanH3pqalRGBnrp82Y0b
Chdeuu6i1fVlS1zdrIROx84ybic1MuZNFlCQiemT6X5NOQJU2nBAer7D4H/fCmJ6i4jDkKETd9CO
2PGsjlwMquznTuTbTrVpmIKNdUXwyVdT+hOOgoILWQOjeNqT0ybS7FMf2kfb8Od+Xn3KFfNL244X
gOjQbEwLAP9zogW3rRdfaiPyP9+0rhyukBfSm1NyYh2S5FgZ7pUVii/xMNFDBkYzA90mZZT9baoZ
DxFDS62w2Q+7zFgVrUri/WBfqNB5SSTK5tYkPoWAu+kyE62ie7fFUB1R/V34FXtXnSSEOAWPQ6fc
FDAVhmC44qW4omF53yoRDYwIUyC5E/OqoI9JC8dZanX5Yo/jtWjpM5eGe+A27fvIRpAQLTzjBcEV
EGkZaNNOq8LOa86MZC0FoN0j6a72QapHWCmqLH/UM+tBJxhnTlrFZ6Pteb5UBIeA5JFFNTm7f/KV
3fjOrTA3G1ouW5S71hqh3DRfySslLDLQb0yoj34YKjM8e2dV9A37HRk/Nm6BWYUjeaEELZkfusOc
yo0/RQ0XaaIOJlmyxkiRaleNVSzdIiVSNa3cZd1kBbVi7x+1Nv801A9JudX5zj2kDWmTkrYZUMej
tDSohMfgcuwrd+vFlMK5XQ9rgI2wE9vemLelGi1H2ZUNleIF7W/jsvOXDU6qwIvGZZMSz3nbvVoY
zY5oSvjP1I/XUN0RryIy+UTbhIMZFkgabGC1MEUOwNkXbo+g1wHfYGfueix6HJQMVBZNXyU7ZBr2
Mu2AzxS9/pB3ZrScpHUuCXikySoCHjYQrczgcK6E5AQ77nDtFBg2c0SFQzB91fARhKXvLEIsnwLr
ZxuneEAp1peZ5QSLGIMoXPjjYNCpxzg6CecuxEgK89ybNVhLUW9vQ6ymFZKqBOtpErYrjhxE1WBK
zQtUwwo2VSPI/GOCcTU2rGuurrqmrX6sI2yFWFxdrK6VbmRz3+u/EEPwKc/1+1TYMEGxx0aJjiSt
nCYp8fxkBuj/8HUGc5Rsx176a7Oe7lkcJHuB9Zb/q80H1ECzsjEfUOIAISmVZaXHLyPG3SKyPxUl
tX1lfOGcS7ppap8srL5Wm4uZUQb6TC+h7oyNr8yFp34RQ3TlYBXm5uEZjmhFNrF9m3ZdzzeEc6TZ
O8ESHc/CktY0OqMTQVIA+xu+TCNfPRsfWx1o2xpB3izE4RbhdGtxvAmcb7So9rG0wgHdRa5OhAw0
NfK09DClBLOhMRkp+Y8efjolILUod8to1bRuOCsKccyk/a6TRjwNFdjke5+VMd0HOPUUadlTh/GJ
zLboegQMS3cI2W5NyDjxgPHC9sunHpkC6lGQTHjsbgkluAiK4imcsEv7mkhvhqzaKJl2a8uEb6/g
biS2RwZYLBaO5/Da6Ld2WjCeslqgc+wORfPkar3BiCDhWUNw2eNPFLRYd5VQse+LxM+QIqIXq72m
dh+1tG7sw7/Dg9fhgcYB4Z9PRIfn7Gv+FGY/cPHJH/x+KNL+cDCaMB+l9au9Rg1+PxQZUDplhguD
BbZWFwXIX2NXgTcfMjQGO4vsQEOOFt4ciqSIhjPUb3r2Tev9gQgMvDAhFOEuhGHkwoHX3zdC7KTx
HaaXykkFAQt6hCg6Y3pGmenP+IpYs1YXmEKiVTX6aYLZuaiuXHpql5rdKTra0Dyzr3xCzigI1RHe
R61Wd2Sa2eOTqTgNNi0vlR4AY42HIp/VGkQfv4aeD7/EWAMuqmZD1RO43ITDsisUd1Wp2j2SMfHk
l0k6L7WhWOWBnSzgonDU8AEzMgMYlrpN1kgba9VjUUTqDBmdQzxbZ+76zN5FEUEsPbNWM2CEWbfK
utXaL0TSAMkAMkZDkOCMRDIclfGAdsrlzGUumVh0RycTUI6ryF+6BP2sq5F6iaqFNy0G6Rkg+JnO
N3mJNn7iNVmh9NT7Ba/z+hwRGAxso0kesMeP16p6Fxo1/VslPvKqDxaAUi8jrAMzXVMPo4hwjPch
p5cCtT1sHYexgtGQF+90Js0WZ0DlDCptl4EMm5l6OEAorsWyNkud2avHnMAZRM41w6XAbVFOxLtQ
/IIXiZpcnzeYQkpce6RQ5cPl5ET2miZCfDl04pQXQbBxY6TINIn4oXiawpWiLDIP+WhGAEkU9fmm
8iTfTGP7Q7VqOAuC9RjbREGAMtrNCu/aZNl1F0WFWPJgZ9us6ro1A6Vw51mKcwgNbJizxvUOMREO
qPbVsvUu1TZ4SAJCPoLM+uxXKUMJoG5ErrgPsdr4S68pXoSbpvNG8feJhw/DiZASE8pHqZu+BFBk
St1vTmOKZAVmgA2I2YnpK8Sc5zprW3WlvdNMGKIdQtEggqOvpenaCPjDrUiFG0wOKsbYa6BU2qLn
F2i0ltNE1fWacehwsOzwT9GZYUh9Nl9Tj9hkoflh/9NpWDF8KCIkrVXpEk3Jg3ZiUmutqtIsLywD
1LaS52Qx9kDPnaldY5F9lNDPRgAwxUFf7/qBzOKk89WVaXjOMeaYraTuV02p91aUXuZte+sp+qEu
2AFmmlIcRyUct5oFgRnM8kYxgaemgE5vROR5S8d5bpThIkzsi9Cw92OQu0vaMetyGJcWniI+M12k
bG+m6ePUKRemGu7TgLyysDW9Q+YQQZhahb5qAzr54+AT1pRsgchs4pKbRAttV/QhxX1kezMtdj77
bc830ApPQ8fwYsjcaqY0XQrljvBvK9m6jbl0qupzCiKhz6mIciw2dsirJV1VE86puJyLDsYomx3O
p56qKNra2HbdfpijYR9nQWPSRhySWycRJ3qht4TfODykbm6RoEo7wXOml6JUr8BjbWXDTE/TJc4y
HYPscGEq8RxxyOfA0tdQo5YQJ0hgMZ1zHWdXTq59dTlbUfbgm3LHK0PB6ZSWxWEsJ7ybNNS4x2nU
4rxQm5lPm6Ob8NiQ4PbEfP6ml8+jGkfbqg3OuKJOKaFJNtYWb8g3dopBzGf5xBSXaTYQPjzOtWnc
Zh4aZcwDwaSsSZPZYNKYpwVn9XpYKaYYeBOFT5bTzhOalkrrcqiyl+A4cOII4FXMkNSGnl/U+met
IcS98zeDcBZpruyp7/D+h5/LFllVPKBTTl9Q/sy9Sl1Qbs+9BmRG8px77dXAMDhyBOdvhMd9dm+W
9qKeMAQarAEs1/DIWCbgom6slcEk1PSHK2NwJS5BWxAtXSN7EOvUYCDpIWsmAIepmlg5LqLoMjzy
hluR7zqvA2T5zsApuw62uoq8ZaruhdrsJtO5tqzi3glAb1CWtunXbCyeS0HACeoQXAbhCnIkh5Rx
EfvGMiA1xteDSx0oZN7pV5pHbi3uQq0SdMXsGW6CjeJ2G6dWViJIriMciA0wEaZZJALg8raQ4XsK
DmDRrvgqHmvXWal6vdM9bEBDufSxWIFuqRd56UFPM7Snvs3v+acItMUoOdZGMeebBHUy6Od41T/X
WQ2CWLkAR7mdFHuZw+iYdYjnAlCQs6Dg0EyILShhy14z471L2+yxKRlMww7BTorgxfDmeVNtMsfc
0oLMZ5PprvGA3/eVuMur6AoMHfmMA9ntLdfOXfpZs7Ebk6fTXndmd5nlyUUBuK1T2usktDfO4J2Y
9G4zA1eEpx6CnMZs1pLMk4xnaJVbvmCkSTmXUeXudXV4KCypBoDIrLn4BStIF1V9ymrzqh18MXPU
+rqFv9sVEPArKFSZmewT08c8Ugo6+/6hki+qKb8f4+ZCq8x1Aay+hU0tB+l1Lw89GQGM2W1VjDtV
yy8UjdxvkuC9Lwi4kusaQct80hpOpmI29YB6GiwdSvSVHNPbqEnJSMSdSOHdPBgmm7pEn+U+DQj1
q8UcL2vK+7gKtkJTT7xvEQ5VMfjw+sKcQr6XiR1TKKkPgVkXK1ePb9KqQX8/xOtYV89RTPs7hokK
xl5foYPbeLE17zUFUxcFSVdTDlCPztVRw1oQLc0gOw++hWdz2A3Z+LVQiqWCj7Jhjo7NveAbUJNe
29nLtvWXVaBkc0JjaZS2jI3YJAY323TICroO3Eso1mASVsRVLaE48/6pyb3wh2k1pNkFRc9F1Zg3
pCKzswOdy2qcHyHVadAru0xjQiJIpGS+U6n5NlGaw6T0D3VVPLUOaoaohu+fDIfOQI6cCra/N0fa
H2i3P0hRX0+IVG9SqsIcD0XU+xMiBW9VAdBUTjgwwiie5fGVQtTlzxf5oHT+cxFLyoKRVdN+er8I
6dK07A1VOQ3Ol4qY2/ZhyF98fZGiQ/v5Sj868NJt/L7SB6l47uGqnjxW0ogtNKDp2RTe0za3PkXt
Y5hb33rF/ygX/+HV49tEfIkhG48fPphGaq/jJbl/7pTHpr0o/acsefr9T8RpmcMyy+hgQN9fO8xr
9KyIjTiTrRf16xY+XYItO/XXIVAHrflFSNUPPhFiYYoW5roGTdkPFYNMetZG0YTnMPPxdSFs89dF
/IvP9EHBLZ+Hd4vIv3+jF649pTEtj0Uwi8yaah+5wS90/L/6GPLv36wAYQpuFfraM8nWzIbmcX7j
kZL981vzfsz8Wl29+xgfbk0Rj8ha0jo8D4o+C0xmE2cjpH1oP9AlteqT1ta/WPFHHwvduECcSHQp
St/3HysOnTTMIjU82+VlKfx5QRKm9/LzT/WjNdADW4al8xwA4n6/hmfqiuV0VXQGksWwiQ5ZPu+T
258v8qNLB3+BgQAcBJvBwPtF8j6w7TAcIu7PQ4aNnUoRPiFjx+uovTDQU/be5c9XlM/Uf9TH327W
2xU/3KwAonRVqGN0FoNCaPydzgHq5yuo76+c1Eibqo2KWnPpBPB9/fDyqXMDse6gpudoT2bFls3z
kM8RmV0GV+acJM4VyXqrn6/5fsm/f6oPSwLeSQf0p9G5s2rK5HCmgb/U8s3PV/nxtUOcIWRwnWV+
uFvWxPCmSUV09kpGh4SGO80vrp28+h/vjoHbwqEj4gLf+PBgF7VGcmxNPI1N6Ts6GqfNx9CANRpF
v/gsP7pib1f68IKjIs4r1bais2o+B86l6V2X0y9ebz9eAoGLtIxhTfvwqIU0zx1j8uNzlp1MrIkD
+kettX6x1f3oK8TD9n2VD7ceFVjQQO2Kz2H8lCgbT6chCz0gbudxc1bidWL+4h797WOh20fxioWM
rQh/zIejAmAcu0jtPDk33bqsHnsLXcfVbz5oH5b4MMDLCGHVraBMzv2UzVTFJznJ/MVl+9uz/LoE
3iS8DeCBP7qHomFgKE2lda6TJ2Xa0v7+xQJ/e5RZADcc6F2TxptmyiPKm62HV6cNEndKz5zz0tac
B9FWds4z9/n1Wv2rUUMw/ZOuLFR3vDFzdN2f/z6slj/6vS8LM5V4Cfm++itg4ntfVuOvNJquOKNA
qUn92l+6boluZ+cTQNT+yuX7qy9r/YGnTddwnQodQ+jv2WEYfL975aFcR6QG4w3zjWmymvwl3j4n
tuqrSVKZOUfViqGMzGIAgAJ9eAADqQ2+SoBCvEp0WgxpppHPnAUPqWvv0o6NxG3WeZIf7bbcRqZy
mhRvKYyU0peUrj3FI+DzsPo0CuPecQtmCzXSGUdplt0Y33zz1TcTFBI/pmCK7MvBh0FIUSi7fXi1
sRo7MoxMJZVskvFk7kRQWUDLcB6j6p5looEAQgk7RQBZVB/XNOCiyUOfjn4937QyBk0hLWdgrgxW
AagoEwpzEcjYtK4Tt53MUWN+12sEqzWuEc+t17A1Uteg6QTzQgaxlTKSDSPIK1AaTVsWPbkhwO9R
Rri1KVVKQqrblBneNpFBb2yFyzxD6CykMsSUGhG4P+iLpG7EQEASSiUJOdAIk/zoBK5rLrPjZv0E
z8tqb6qwtOZEaN9atn+iBQVBTYfbMjDE06V6hdK3XWRS0dIbgm4A3eNZXLYHWtQcMMccb0enrIvK
3JlIYzCkXLkRrUev5x029erGljqaEUFNh7DGz6bjJJU2eLn1GZ3G+wQRjtfmqHGQ5aBJjCgMUer4
vNAVqd3JpYqnlnqeQip7Es3aIte9jKXmR5fqH23yl6XUA/VK/lRKhRCwdCCdpGEjHcrh16VIidSk
vdCltihFZFR2PDOelB2FFr1pqUQSHWGHBuKkOvPnNWKlstQPthmA43eJpCqloilWs0WMxKmKlHMs
NU8T0YczU+qgWse60izt4BaJxJ10w9yQqintVT8llVSJ1FRFscBXicyq9uubQequiL8++Ib3OEpF
VqI4zBHQaJmN+GQg2op0+lkqbt9R6rkchF14pfYqQq8JwVeJ8KuSCrBUasG82toiU1YJ9zX3TVuf
wpwoZJTIdjI9jwMZVja0cTcuPiHDKmkB0kQK4bdnbVzsosZ9yGNx1ZjVV4dEqwrnfDH5Kx9/VlH3
RGQqq0poF3kSHMM83w1RfaRvc+4yyCZlHbTrxGtJEfPMl8lSWvp6vW6sw9azu5mRddO1Zk0H2Bs1
g3jmAj6mA0YZFuti1UqqdW9P9ZLO06af9HNlPtQKDqy0dW8zdAtJRCtBqsZpEMMP12c+SvF2QpjV
gRsfzfaSl92sAger0SMHdMt50Cu9sw7NiNoyn8VOc5G34ZWt2nNv9K8ntAygT1qqF6a7NN8aviip
na1dX9UZCpEHo8fWOvFDf1Mmipz1BA6dsYQQlJYnB5gXWjCVHgZh0WdnUO5tI3vJK/E1dTQEOHny
acr8PZnpOlwGiFSmDrVIVJ5NX7X44rSKt3fj4BAODLtHIc5pTve8tUv11OvJsz4RfI8f+7mt0eSk
1nCl92Ox1bPuUc3TVWmI+zG0MXeVK1dGyjMCIpDFqI310Pp32eC2C5J8VoUzQmaHnlBUZzckXtOK
VlMNlNgsATmChl3AddzkAM52TGNuHRIQWLmb665xo2JAWgcmGoypVItlMUTD8v+xdx7LcSNtFn2V
idlDAW8WsymgfBWLTqTIDYKSSCS8t08/J6lf3VK7iJ6YpXYdUpMUSSDzM/eeWyv6eeI1uHZK79aa
292UmQgDsoE0GZAIutxYkS6tM0GV/Ec0mV0KnMyDmSZqZAndjD4A3/dac5mCeF/iyrltO+M25WfC
PQDSJyK5s8vca8wSTD9RiYSDjG4PpfpoGWN/HJKtqGsYNknmsVZXvsZ8OtdlR27JgZ4VXYlET1d2
Hw9HU9GKNb/QeUcY3e1UMGzKKxFEZawF4JZ20CFcXtsm2k+QwEIFeQJgZc+1/T5zntV2iYHIgZuY
gMxHjC8VUd/pMVIhELrEb9g9LGqpp4naL6kuIFa3LNYsZ2EZVxP4AzRI1ysmj9OJSKTEV4x62xeA
3NLqaixpYCtthMs23apzuYZhN28seD1l7e0UTRnvxTL3m7HXX1OPSrol9Ccnpn29ZIvxrbz9VU/p
tDj/sOUuWXL/uZKSH/S9kno3FruMuZD2qdIi97Psz3J0WniUf3KR/VslhbGYTs70MKDT1P3IUny3
HCP3hy1L+UMx9a8McrLE+6F1pI4yscXhHdBAkpLH4+o/11F1WZtoZhJxjcDNcnf1u33Xci4avlCq
iOjd25t+M/r2FfbLoH13APMWds3GfXcGj+8uYTCtO7ywRviCFDpR1yPxVsqRb7oNDxrLRm0dLaTb
XJtpESOGr03BIaJBF+fJXKwli/2s9Sg5UI87RuQPs213DNDRMc4riEa8Egk1htg5Y09vkFG4rYwJ
4T24t8ZL/ELmLtj1mDWXyMx6Rm/GPDrryFVLDLQQdNQFz8CrRW7f9lcr8c0dSg/794/+EyXyn598
Od34/uTL+CeVbpfqHOul+dOTr38As4z9E9+KyqiUx+57D+F+8FCfMikB78kFIeGe33sIQqM0Qpxc
8Bgu/xMy2X8heNXfyTC/j0149hkLQ6QybF4wae7/w7PfNSN2bz2ZLlXHxq5yqarD5r7TUXIlOo7D
RSvKeyDoGSaxPL9r+xD5kar1u54hOY8uawpErB2PsnFlOKa6xo42+bOTcPfaJA8zizyKevjs9WN1
X85SLlpn07XH2tXP88LxvT4s7812OLN2cgBaecEQi/KSR4gQeX2iWw06zLbn5ICCG2pBq2kf80XL
dhncKrhSxhY3yd6Y3fuo7pvNZCZ6gKsFFA5RlD66pmcFTdTOkzy5RY8/1iYeCaHPxaZbPArjtIAF
zY/gEmtuuAFa5YHXLK1LNKKB7XIv342Vg88/MrxdVSxsfSPnU9lWeN7Y87NNy099PW9TT3kakRaj
Pul9jyw73xLVQe3NdepECCCi4ZA2ynEoXbSg2rksIRMTGYhkxO5zBLri2RpMIJwe3h94VRGsysYq
MpaC0Yi/Ib7rTNZJRqbYK6Og+LKjaJcuQ71T7PzViJBiTIV9sBtq9m4pcNVaCZo0lPUbEY4qm7rl
iV80AGW7uiuV8MrM5s/uEu8At1Z8J8bXcG6vlbYYTqnLLrrpJC51dK+MhWXuEi5XVsmvtKuAXs3j
dZobn3HJ4DdJvyhhheBXiAPArQvJEhxeFctxTUoilFHfk/ho+Vk/Ya6PvAsx9+R+5CbbbftUTjnF
oGOEK0sTT1W03KAPPyY1e1MFluOKmph4iVDiRd06dS8Gshjjs4rKet47eF7XRAQd6RIXEHdaEwWZ
1bQr4VivCvDnuHdNJkDzhlh2ciSQ0Z4xOx8G2tqVQ7IRug/txK1DShQJ3FiVNUoay423s4V+p8bG
Qs2o3zaWxZbfJQbQjFKaospckbc9k8dEl1Mm3gb/Mz5V8LIrnHHhXpnb2o8slA0jLzhhu9nOiKrb
rChoXGNzP7nsnrkd1PtChOR9meZOK4tp1aBNXSFwzwM9HP3FJIDcmMPXedZ3scJCOLWs+6YLn/Wi
6HyHtFnH8a4Q8BBdiNyeWK2ecJTM3qMkMC9ON5OBQCaVX2mxvZka825Iy5J9v3XCX4GjglrVVxXr
0GR9fNDm8khqhravy5jfUuf5mfGp1cKLMkabkRp6gwt629UNS0cvb7Yta4tVNIvArbPPIrMAZla8
6rwmVeVMUlDzTOrAYXLGap8qjhtksaZdSGU2sP8q4pYgE7J7TcQRLL+uhlopV4lnr/UZmWZW4Aky
aLjplqebWWNDPVPzHup5cVe9roc7te7AgzEr385R6AUqwbj7qi6OkVDRRUS9cWjtaDnUiaZszbJW
12Vd3diK12yWdD4oavSpUnLjWk9iFCVJke4VKN8+0SAHhTV1NEXh2k6qpxrhxltb0OgJXuMbJ0le
F/RZoDk8woO/jfx+lY7SWfn396cMWDy/EDvx50tUfuBvl6j+gTkcm0s2irgxMXn87hrRSS+icLMo
BmEVqVSW3y9RB/gMTg6EizbrQkrI3y9R3KLMbrl7wXuDKsRQ8i8u0Z/nwe9XqKcj3uQgY62mq7K8
/GFc2/ZjX+f2PF7U8rpBmTIjxP/hh/IXK3b+pT8UqHJHwy4Vw4zFdygtMH8YCIOlSY2eEINLayaH
2HlQVNLIb/D8aeH1OFwRD/TPX++96v7Hryj/RT98T5LPGnPJ9sDxMJmiPSTnh+RnckzLqGxvxqZ0
D0NnVVd2iuK8tTd2MtfrOpxCC0l956wT5h3PdNP63pYdO6+wGWhtiY7bFSeLtp6w7tSvaPQHJX2D
6/NJDrxLOQlwIAOQAtRISwJzAkNODBo5O8jlFMFknNDKuYIFeGMTVXG5Deep8GM5f3DkJKJY2AWG
kCmU0fUrhhUukZX0JOXKiYeTwjiD4R0jkBAzQs2ow5wZHdjjTQjDHFussStL7XpgOEI1tS/UPl6l
jE2Ik6ecVj42cp4yFM8D45WJMcsg5y1a125jBjBm5R6EnMgIGwCDUjGlwY13Lqnc75xORQzX0O4X
d2Ut7J1dk5sNgnZXw/XubpbK5A/6vJnKSxaZpw4p+lWRL9bObLslyHuj/kzw8Mm2xzNewVPlxPsp
Hc+NF0IaTq/mxX7UMg8XvaJ4kEcZv6Abox/7mkHHWY+WeZ4qE2iAEQxpdeoIc8cKs5+N+FrF3YP5
NYin+TTO04levgy6JVe5yMZjO6iPCMjWpkn2bF4sH61sIloinxGu9sV1kXZbOLJX6ZIe1DJ1VhPO
UnQurOHqiVFvO6RI+IF6tYnzse5m9rScwRs9r0jB6seOeZfe3siEjxNuacQwro5jkczC8WIK97bt
YdxqAuGrEM1Gg+8aZvF1Xyh344DhQeHXUk6MLgiRcPLuK1nDy0qzkxsdooHX5z2DKUIrdDsAnnrT
9aVYycGNPZrbsRk2KiCnzsalpalBWZZ3zIKv87Cu/XFqByYo6XA7zeLWDrU9BqvArdxP9G7+hNkU
Xq1i+FQTbwXeKUJ3tsSPYZTCpgS8CtLt8KqO0bGA7FybGvWg40EDZ8oMq2RtKyNpQtE1o/GzaSW7
2sq3k2qtM6fw+ykklgKBLYTSFgyJ1SpX7DwxaCp7Doqb2Y0If4wprwwz3NSe8WA2LWYxwIZ1WoxS
lTXv0pHKoMmYXcURdvFZOaTtck/Zilw564iGLO+SQQ3II+WxDhOAJK7+4vXJC8zzc1lnWMkTiKRj
28yrsIXpYoWD+22R+uvS07ki/v7SI3ziL+47+THf7zvN+YDGic2fpUvTo5yJfF88MUmxoSKo6Nvg
qrG8/f2+k1ZIQweN8HsY0PemUSb+sEfkMf8/3HeGx6X6w+3APUS2OvoEDmMyhLjz5N//cDu0Czvw
3urtK4j54K8hH1XIP11Rm4EykVWy0DH0+rBSdFtkgduFTomiPceq3MfJu4JXzc5uH6s4nvWIr8Ge
ABiZiR6zNxN0jV2hU/4uPMMMt/E7R49jnytwB9XI5CJIHcWr9i0mdZZag2VPN33iwHGH8RlteDWh
wMMH0jm6fYwTu65wKObbgS51UIcVSwbixiKl3YS9ep8U+rkp7GxdEjcQzuptMdMgaJr0M4XVsSrz
Y1GHJ9C6D3NL0CUQtBCfT77tq32WR8g3I3BtsZ3EfuoQuZNR9UIGR6rXh2zEhmnB8u/hiSP2jCaS
sXebrqpJAhs9ItPH3D00yAd1udiK++FTh4yc5ikjeh1ydV7O1zCD5s1ow+S1ezpWEsA6KM7LFKQd
ck11Lgivgey2AmixVq1+DvAycYC5w1fFnI4ZQ3yYPSHrmlD7Ok1V6fdWu0nUmjA7BLmEn5PJpld+
3DQPvTXnflKPp7ZnaTTEA5j80rhTTHVTO72+CVOSyZQcsBOpRHvEKtCSzfIq0ctbMGzEl8HggU0v
JoKBBgmMJEl37rPPJga5VSOGoDOwWGRpkAmTKIsqOphhvm4q115JAqzcYSarJivTjTs7Cr767pyT
/7jBU5qc1HnZalH02BcEAaVkH24NLq9AsSMuYnYaptf5OPsOA3iKVa02j1GJun9JreM8a3ddNK2J
DMLlOmmE5SW3Eb0uxJsgdeJ+ZdsLkcbWnK0qUwl3TRoKX528a3aRDs2g8VpmWrvTqrL1raIkZZkk
eWHkm8JIP7I/ZldXw8WsLwpmLWxjqU7cMgM5N0s2SUZoLz2QxNz1qvGkVpASnMTaDmN2N6XWvohq
8PFSOi5cNGBzmww86Lo4VhUybcNbMDuO42PBEDVI9O5xCscHzWwZmhCbB1dwWwjvkrQW3nycC1b3
eXIQLLcF+tneSQkISInSc0nCMLr+DhI5Es1Eo3edo33Umuxluvq2t5cnhO/PJCQRJxjPCaa6uF4n
g6n5ptp/HGJk4VpqxkFpi4OilAfV8V6KhVGBGtW6r5faHXIzsiTMe2y+W8Uor4EejShXjDtJLA5c
oeYMK5UriCLn2KkU30iJDI4zbDAMeAptfgFINe3SOdr1Q2OuFOF6fsF8BgE/SYJdVzDBkAG8Mkwx
mxb36KmzG3ga2ll1aU6sYDb5SN5AqGf0hx7/YG5ZYrfmi6aZyNwpQ8sG8oHj4BkNxaHJjWxta9Nr
Gnu3ZNc48ASqEJ0wBKh2md/GIYeZOODMxgFt+kzPKCfbTttmzkgrTUyuHaY8OqoB50Gjhy2reEZi
X1rsrcQujaYXW3TFurOLYs1k59xb9RkOy2uKGSGgaDExDc08UJ2zWRT1rRnNIzuV3byUT4UTEdMp
6r1jpCTvTNpRbephw4JswORto7zXzX0EpHEFMoYFup6ctTQ/kCe1JYDhyJwPTXd4zLNkL7r6LhT1
WzeBCC7G5gQM7WIr1X3FzJvKgAQXFX310eNc5GxkMw45ce2U/bhN0vKxAJDmOyPuxKxlThOOzXqM
mErHw/jgtRjU+xLO41BgFCni9GnCFM/rOBEmxkAC6mHpe5MOPX0Wj/r4OjYzOy4ridfFbEJuy5+m
mZ+o5iFYHzt9HQ7lQ5NAITNa5QGOwKuIQILNqYMe3EAV35aYGU1gG+rboPEwVIV9X5G4sBpNzQis
jDpcI49kU0OrGpIUqnmorZRoBPKUDVeYP0hdt/GKicuSm2idTDZX0aBgcM+ck0MfFghX3ZPuhiMl
dKe9OVp3ehV+Eo63bJssfs3ZkzO0AXBFomyxa9Pho1GUi4/IFvzU9J4f914c/KqSZDzx31dJl+al
iBA0fWPY7r/+z39r3xyXfNQPdRK/Vp0/dxiw48b9oU5yPwA7tGjKbXBK7yOD73MB4wNiaJsaBscl
8/Uf5wKGpFJJvi2f1nofyf+LuQAAqj/USTJfkc/vsQBgu6W5f5gM1LY2xyNkM3o0TayNJUs9RuZe
eFSmWj0WDq3RSlHn/tlMxCEO5yc3Iom+cpIvxmBpBBdY8AEpofJhXRuwbNSqhveZxEnkU1mVD9Dp
iCfHOdpGMoqJhX0S2+TRV0bzQqh8/Nr1aths9MIijRdiqF+QalGQ1bMRFGKE3Gct+25M18MGcgDW
KS5dWseU8y/syRJHR2Lj9rPY8U/AUhU3IjMw5dCx4pAQGZ0EVRdQiy2vNsVgFoptjdiKGb6jaNgi
k7pSLeWR2J3zsow3mrGcxAAYwlBObPb3WiT2UxwuvmWjXyJrxPLLdoD00priVJn2Vq2U6wSv9G0V
useuEoiAIjKYI1IFTkVbNr6ujOl6tqEAN2BqA6fuL1PXXpR0wl0WwVidSTIhIHVcC8pMj1zWTqHS
MebmLTW6uzhT71Rbyy3SDrriWqlBfRkm10hdMVmwxSdQH77TuShCwhwDRYa7sxRvThslvl4RuaGX
zCQRCXizkd8ptjUiFUDH4tR4opom33JfsTXAJjtR2QDQcexA1wpxGaKRLOEqoTOjFusmpby1sWV7
NjYZlQ7Z8HpUIzpUn1g5a4uxGWygNnNfmR9bMhjJb8WQSKjrBvM2gpgq9ydinVZL5VRPVtgz3NYU
D+BxoUet385Euv3wKv7FQIqF1g8NAOB5Xji2U7ZLViMSOfsPQs5EFaOaem1ypaui2hjZqL+ImZ/T
OKew4X+df+8nmRSO/v35d531+Uv75/NPftT38w+KngxYZRP+zr75A6+bzbmUB2LEeN+Qf5+LmuoH
JItkFJiECv7n1PzeJ0KrBZ5HQruOrQ8/z7/KKEQP+9NjIueVcPo4gKHpYA0kp5C//6FPNEVUsAuf
tYvF5Z7u4gFec80m55yEGTBOpj5ieeTdggXRZVvWQ4+KpKDmgkKjjLae3E3F4CkwPXF8lg1E0nLr
meqxB39l59PeYKu09DsrUZ7KKAIYAgEjumjwyM5l3Lo+iyIvcDSSPdLWhhc1L1+JNkdD15PDjbv2
CZA3syND6dhwdE8g1XYjmdSBYQ3XhGIb67pQYv5ePS4DRYZuGGeT1wGBEQNMpZ9xgquvcdW+jYv+
1VWghJV9KvxGn+5ydwJ/MZlP46w8NovJGbDUxL/bLoIx76qw5/momOktd4T0yQKvnEJOMMhJ/Ef7
xlts8j+2X5pBC7DK6ZT+MTKe0NSDXDQ1eHHji5p+IiJbtPayIr02tsYGwAtOmNDpmmBE6mT6VoqT
kMvBMAhdQQ2wb1qj81602IRMHU8NqTnFIKjRQEfT1dfktSv9qjMBS3N1jCuuNhkD42Ybor3TvaEP
jebbccNIVwKqyf8DVb1kzc1Qgq/uJcgaJgU/qjbkJpCYayGB17lEX+e1/amUMOyxJ+fXlIDssmSL
10k8yyTx2aEEadsSqc2zaWJpBbOdwNsWErztSQQ3bJb4HEos9wjs7CCwzW0nCe0mDAezTC1R3oow
wq2W9m+6xHzXou4ZjIH+1mCADx2/PhgM9ZrKnkabVNZVLKHhpmq/ehIj3tfjuCbkDh2chMOpwMZZ
52bXrhGla+0dRa4QoO5pBfNeCSpPh9baMvx4zSXEnB4SYYcEmzsScc5PDtGGxJ67JWtNfQaFHqr4
ElqJRy8kKN14Z6ZrEp+eS5B6NWOcKlsk/61ktXeu0hxHiV6Pxr7ZgvODMyLZAxXt/5pfnsmAzoLu
65iMWQUmWNPYynEK1HeJeU+8CgaP65qf1ZypBMAF7NMSDE98PMPiyhzWgHbgxicSIZ8UtOu8c9Gh
SXQVEWFadGuBP1ZdTxJBz7ilSd4y5hI7l7XMTQksKKA1ao9dyNz9aECjadTpPmNMTkYk8/vC8FLy
NOuHWfEiX10QC5TeWK5bMZFY2T4pUf2YlQVoHQjMa5EvgB7yko2g6tAqzMkDCoTrpG7jZ9aDDrSh
SBAV59LqVgQqLf0NkTbuyrIRzwCbqPdeb7+KbHim9AGE6Qp/8pS3Melk5x4/GUpyIIfzk2T9b2ky
0OvmjTxEvDM/in2fem+QqwNF3qFd7t6rrnVda+JQaZazKhoE06r5Rbe9xyFTpkBrputuadw9lvZd
ubR37eJ9ZLaPlrpDQYEgYQ1mIIZ7H89bQ0fFnBQMllxcnSM3c+OK20hldONEyAH6zKiPlrq8TAnT
hLFg8VuyVXfCi2sw8p+MOphRAvGm0KgVPGwrPLM4k8lQ/Jy4RfFsp12yi4yBnDOTPcgEzOdg4wJb
mXYJW9rKPyOh5sxS+4IEqfq6HJU7u21ln5fGh4iQvNVURtU6nUdXQrg7gAS4vQETgQstx+gm1zw4
MrwuN+90/UUNQXbJL9pVllgjVfa2KjOy2yxqqsDVmaBzwvTbNrGBL1iTt61MbUbyLVzpVs84YZwZ
peWcrMM2NgI4pObaW4CT2o31Rhm5BKm57GloLyoZk7mRnDDD5GtjVHWG7XTvhlqFG8Kn4w1bf5VN
AgIRUy3LnW5PVpBUUJ9EthB3Futb3ZBrgoR/rch5a/URykhWwCihwM4wYXNKqXWobceC79RqBmsn
BvYcfaLZWyUhQyHJAaLVxGqjs6J355jqf5U635o2KWD6+1LnjoF4/vLnUkd+1G+ljv6BMof9p+vK
xuwnYLDxwaLPcm3dYDdMWfrjSNxlhI7uytGkSeJnHZWKSYzP9Y7cIXvmX62A31u533VUckVLTeWZ
wPcdpFmM4n4udRCnZ1VK8O5FNwj43Vgu+nhUV/2XJunXg5kCxM7DdKeECKQTzXsIO8yKYQM+gD3m
Z5DCd04+eujt9QCQDeEQVfy5V9R9O9SnVKHhazh3YYINgJ2GboNj/Xl0pmjb6vjbycDY10PkG0t8
MYh0J1Hw3NLFaQ3eb7Y7aNQZKq2c1t0VMdLXUQkc6oFutEkzV5br1O5DHzX5rW50T17sKJQNxc2c
KhozLeVeEcjywyEBbhvHoNDtY5Z8yuL5eYzUnvYwuW2bRF01devTSx3xmGfkthfbuSz1s1qZF4E6
fqVq5nFhYzwU/dFtw6+VNx5j3X7WISzfmBPDnKgIz6NJNmWkI6ZqrDWrQO2lmUvGOyn4nrZ5iHX1
K0Eg3GCVUftIoD9OjvK1J8/JLzNvl6buec4isdb4HkI1PcdL9dImZbsZwjRejzOpxEKvrW1hhUA5
BDmRbv5xrsILW/zn3AZBlDr6aXLrbWem5QrQjBxkaxsXvl0dWpdUx44CV37Xj5rqz4v3kNjeBqTW
eRzEVu3cwW/d5KbI2QAOxXRy2+U0ti5K0LD6FAvoIYOOh6OGgVe35LaSwfDJWkjntWt8zG3+VrrN
GVZUBDAsuvKEKYKCGEUor8y2O33Xhl4Ddj6617OGcQBiadcBkzbakNgZCXwtIucuCuctBda0Rgt/
mEv9fW/9OpnVcbELFvXdI3+2K0p01ebgIsDSsRyLpMOum2Qnb8rvUWZpRA94hGratA6A00MROH37
BhpwlzgNAb618Lu+iUjzS89aX6+rEhmbmkJTG5T2ThuabWKlT+as4QToI4SF1pH9r+d3ZWkGRZGz
sRHzpkanZXZL5i9Uo7NwkKJxw/np0pwrD1BHkocdsiBjq0flMbXMTeax3k295sZMx0MiusQXzXzV
ePzsTRn+Q26v8k6X6sE9PoqiY6D3Tp+yJYhKl3VTtHIloEqtvPqWOwZqlTbFGxYTm5QIHiRG4Ruj
29fQwt4rSrIhVZAJTjE9tHbzuUtR1VZleeNEpH6K9EZDf+6S9OqjsAyqyQF14QwBgwWEwVZ3pRmZ
yTdXrWvHkVrdhGjvCXgJE8SVlzkLLJo29yvAbF05bQx7RgKoB/U0PQNzW2Pb/8gvWsA4UghWUE5F
LbawgPcF7hoy7fwoIReZfUWSz+SMUjZOaBpmcwEU2j1qdRMIa44CPZ82Qw7WxogTmMY1BgKqcRiV
2xG5QF7l/EIeOpn7PvUyEtYfiHyOFQp4QN7BnLeBiL1PeQLcoW3EaagYQSx17EGnsHsWLDgAavWK
tuJLy1pdZV48Tw5lhOkFRjWfTbChY2NAxNApELl3+d1aCC3QkLbNF+KcL8kEPiox79U4ylfe3JyW
1CHGwIJLl/IWqi4VNbX1RkvVO6sPX2sbLaQ35PuOdA+/dYYdItHJV2q0EkZ+Hao4cgS7uiS2JIya
/sHsz6NTHCdyVlcQodHyuU/oR1ed7e76gkE8KQye01/H9vCo6tVeUlbgCjnrNMk4/6YCbaxd3ho9
O6Z4aQjDjmiAkp0MMKni4Sq0l3tko6ta725CvT8wrEeIzQJ/IpxqWfSNbTdrg9hyGp4hYKO3cAob
G8/qjmqxbFziMH1vVijH1c9Z2OoSOvVsxG7mj7pl7DUnutYKYBRRdKMt7gk9+OAvxAojbhwPKgRj
+gPhp1WUrHMl9vZGZPW0CtM1ilG2Z/M12vw3CtBNkVdBa3frtnGVDXTJwh+V7jJ31XXnuB/JhhF+
boFnn3ILrleiZ59SOvggqoa3pO2PJM8+ZH2Bb6w8CY8Cr2/iWwxEgY4OwopmJCVadSWmaVMny8dU
g4JmkcTFCbxuC+umUUKiPFTvSbGbx6mG6Z2LatX2ueMblet3mjjqhPCKSepvo6PZSUebOe9xjbNR
1ELCUhGOtukD1feYBppSgAZfAMy4k7vO1HivW4gxoXaRK1GKr+Zg9MEM4CxoG+3FW5aLxtJnTblA
bIeuoYsEgBEawFQ7aL9el5672OG4RE8UwMp5LBP9uoRNiuRjJBEW8qdov1iuDq1LOn3mS2tP+0Xn
/GocELyFVXycZuUBtv99FuOeIVYsqNA+IqAaL0PKZtRcXDQm6CCzPulvmo5FiJU5yc6UEds2PsOJ
hSzhrscf6qm/mNfpP1uKmcQ45Gqyqkc7wLQCxe3P5UlbI6+bPcO7aHf56pO1Ga5rH0OU773c37Zn
Ul/Xpd/t4hNhKYHYlRtxgMmdnMW3ueGvXQYOlH8ocG/j4ZU0569/sc6QH/i9xtXMD1SpgGCkxvG9
jv1N9eF8QACoM7JjlwBE4QfVB4BIFh9Uv5oMv/jDNgMTOREWjLD/Q4j8F9uMd6DG7xUuQG7QMczy
0FHaVNrGH7kuQi8Ga+gN1BJlXVfOScnAWnEM48nK1cAjzefi9bqRklMf8jLEkj2ssXl3sJfF1gVa
W3bpy1ph+DApe8sqjHNPqFEw6m1xRD6V3wFgHi89hcqJFJ3ySxd140HPx/TO1MbmaCK2Lvxucl7R
9pm70kSuryUNMDin7spnoTKqAvHHorIZqSO8bJvq2hgsWUHoHfPzN8WIl1u9tcna8URRwmLUMu4W
j7G5XQeTnuC3U5Pcj4WTXud5H97rDNNu+0rJxJ1KORO1rH61etkvlUBS3rBfMpgBOEWk8wV7lWD5
1cBWqiEmYXTL+YU3crhpGs1FgV82uhlA5R7UKzBnHNNWXCcflWSxwOgOqeP4ky6LQG5KVqTWAL6C
FaqxNwfC/hbGrIGzdKsGcJbbVXWgyZ2OOjSedSQ4oXkJ3zc/uVwC4ZliH6TUcjc0x4VhbFFRJ/tZ
wE8PysW8XbR2cHa6XDGV7Jo6snQOlQ0o7GxB4dy7NVfm7ZJQ9s54ELDJCR7M8Zx78PmVXyfCt5ZX
Akj+oeV9+QLjkN3mXyjB5Ed+PxKwD3Fou5AmOLO/vfjfzwT+ipaXjvg/f8NHfd9wogQzbAbR8jXl
CJAo/e8TfiJ0mPxrjmG5VNIADP5N24uy7I8TfsdxIXqwM1Ah4P0JVWEkQwGueRovU+aqvtnHbIMG
kayrZIC+OXUb8KYtoyjLHJ7GJD9WLVMgG6wBUOc4lhbiNggLV4MRa6+xOSDynTEF4eVXjmq3vFih
vlx5ffdKg9QCrkRwVGXhndEr9hmjAGLGwaiZUA31FcAFVMfigWCZ9agW0AI994D/9YBM7C2d5odR
AJY300udNewE9B1BEFLmwjg0zonkTDKEvctsZMGkklsSeaDmcVa8Jo75cbSV53RQXmny4P2FiKQm
dLKQD/KvdQ6YNVWVq473n4EgVdqIZ3hF1M7nWUCoQxaj+ZmD+myAnxv0c/kg8vJGtyMAnA18yNlk
Pt0T+hY12z46R/Ee4OZt3dpnIwtfF5jmc3Fta9UYGE16VcCGX6bkMa8NRM7hF1FY94OF60ZN3ubI
rOg99BtXkgXcnqHtELUf4RSAf+whx/WZyDZTh6oO2WgdNPZ8lyOwCDpnJEDGVRPfyERDcAFWrKU0
Fz/HmOu36EPXTALbwOxwHQmTFY1ibHvw9LeWlumcnSAWkhnZthZbQ2CV8Embmh0lVengp65WHRal
uS3bCW0sOdxb3EB7jKJx0BhdvKFBsHZ96M3pQxEpTnTW2yV/RNHEMjpjF8uPb1j8yWCDM0wxw3nL
fWs9sZvEcBFdk/rw6zvn3L3jqxtgf18RDDmEESGH3sWmFm6s1tYujorhgwFtD0gb+1cljWC5tIS5
eMMaAMM7erjnVNrGLGkgG6WVTKkwlem4y7xi3Bs5SMMmxKIvDWgNTjSlZ+LYqyORZiETj0Ea1nKT
jBqnJf65xc1WS1ubgb9tEnN5zxPg+JXplKjssMEV0hDnSmtchEeulWY5J9WRJyfitdIYkC/mrK5j
T7tSXOmyU/Hb5YqlITHr+l0jzXh6Y2d3tV1ncGad4j6Vpj1MP8IfTAx3+Pm6zgbL33N5wAogzRau
fx8qTKJJWcKtNl9GGLyYqgmlyVHVra1YH49kS7ubOQ7tQzerL1NY+bUYH9wZ5qVRqDMugCoJItNj
0TOZyh7F+ficJiPi46UOg9jtii1Kw/RLyn57l/Uj+6raJTpVTLthIS6i6QCCBM2C3gr4SnMzGlp4
EpHhnt1hvmq5qWiPCRh3ypg3Mx8w9qnuFHR60Z4Vl1lWSy8IgXpa1u/H8K8K1aBm/Kf7qPivDYqb
L3H75a+uJD74tysJ9A1QHNd8byogIP0uutEN6ath3SslNGyYuXe+X0lEpAJ5Nqk9ZCvy/lHfryRq
W4zcwGz+n8w4cqQLskd+UpZ2Pzc6VqaqbhI2y2XpHms3XMnn/ocfzF/0UvIz/F4Hv096+RwwucCx
y4mzvBJ/WGrzyP4ve+exXLeWbdlfqXh9ZMCbiHrVgDne0Iqmg6AkEt57fH0N8Oa9SZ3UIyurXqMa
2ZNCInEMsPfaa805pl6OpSKdGzBwNfTzFIi39rPvN59f59et9Z+vc3Fkg/VaYrjTGJ4vHvH6MBg/
P7+AvPyGz94J7faP7yRg+Cl3Ie9EHg3Slu4NZl88c5ZAId97qAqcpn8qadNEVy2iZyl6jcNVAGW4
uG7z24Aqu4VprQWeid40UGnp3XKed0c8s5+/Uola5tNXyo318ZUqNKPgjC6fheL5TIGr8qHrmfdJ
6nlYADlwbaLpzUDHV/FHU4+cz1/AUjH90wsAz7k4yRbpvXyhZMgRZrW0g6bzhH8U3zOhmIdEpV3u
TOVi27Fi9sxtbCLmHhtb64YbidwIGgAFLn5RmGnfk0ImlxwSVm0g7gbW73qdZo9ypuwGX6RGIr5P
uh+VLF4riYWS1wePn8exV+v1tkRqIPfVSmont2+ndTifez3yiLe2lxMV6t11jVo5k6/8OUbW/tjg
QgmauyYwjwqQ2xrEeo8yRx6KLXMSxyBLcIpLN4EqWzLA1emKzhw+oklyOqlDCZl5Q7mZqscmpvwA
TlkN+V5q1es4PsZjtu5zubjPNOTSykwon3XXqovDRoPByMxMiwLVVaPKdEWTkV6RpE/oruwsQ6Nk
aX6zAJwPn39Diwzmwze0dDjMjw++evG4DBFyJDD781lcKxt/Ox/aB2VtbutzY0uHdlM5tYdY2JlW
irOrd9mqcMcnYQuTaC2u9WO0iv+IvPgvwa7Lw/PZw3UxEFJTAgez5ZYtkm0BJGtw8SYjTBW/WI5+
d2d+XI4uFjwzyuY0DLmOkNvp3fizWtDtDioR3f/iIbjgjf2xIn18CC7kjBbvv1asSD6H+J7ANrkd
ASaBPUBjgjJ15pD7+Xf6uxUQeaciwjoAXXuJ+MxQ+BhGqsjngdFTPn/vhavPL/C7BfDjBS4+Ow4J
BsBAmVjm3l0UQYPgNONX6OKvLnKxylqjBefG5CJWv5+rXavfMfT6/H38bkv6+D4ulseJvRq1oSaf
cRQRMYZqR4ccxvho/OMb+e+ujo7Rj7poirf2fy6/+UdRTnUUhO3/+vWvzR9/D14L96V9+eUvEOWj
Fsb7az3dvDZdyo/+8eAt//P/9B//Lh2+m8rX//yPl59wbd2oaevoR8v2cikrVng+Py+P7Nel6/T7
n/yrNhIR0OnI6rDpLo06npAPx3Ud4qXMafk9Cp6b/c/aSCc+nhtA/Et099dpXf+bRKQdWicd8DW2
r3/Jp6wYv65JrJEAQySRFt6iRkbmd3ErNt2k0Y03hZOhZcS2EqEW+ZTsqQ6QT2qLVWJMG6FRebrD
7JpDuoUFCADOAIyC0WnhpnG7nWucJChXY0fU9YIdhQDwqiIznhDu77T2vhXx+FyK1XGieYXg1TyU
WVp7aoFsvlTuA6teE47L4aFNb+i5VTC0lB+oW53e0BvHV8RrSxQ4Q5s++WRx/SCOxtuo6uMqHsrb
TI7vDWmJwkrmyu4EY/Yyq3pUu7JzIwl8W4LjIw5KTC+FsMor7BmSABMtETh4+tg0GTXsCCgZIlfz
cbPOA9JB1x/V5zLthekarZnZr4gbGDLFLpqWA1sViyVif0kNXAujF1pia1VKzOL7Zso8mdMdlg/F
6zVGBAzqr7p4Ioczx1hVML3pxPhna9CyRD6AZ9PEztye0v5ebgqDLLHBcpCxkfc0FbfGKCW2lMnP
cdqQ62vVsjeNEvPkot/rftPsKjH/XslhXLt5GhaiRyYcHQs9U0ljfecwooFxUeDeiWEPdYSSgcVM
XLoZj7lafEPyVSDHHosD697kCIZFjKx1Bk6xzQFBNlKzzlAupAAiR81/pBONuy4BHllAO2NGJm4l
UshsMm4nT2lhTfp6Qf90wWjxeh4wpUa7ntg8EGcS4TOSz+hmULKzb4p3hPL1qwzHMhJnY69mUZvY
7VBF35JGkFPc3Vj/PWkwj7M8XQMMS1jBGtSSS9hdXYq3AYEQflVjryVPpQqslTDKGzok11psbP10
Xid9twnFuaE6Cu5aMzuPVr+WRxm+othDpOObp1wNY1AxahY/aEZxZxTheuDkj8GM5MAaCFsX3EF4
OdRDdFtn3WPUknKIEX7JGi8dpnkIrCNlTcSytsKbLa9GYzroeSHu+cpjmxjy1xhxV1/z2oQp0Dzg
j9pGl30EkmjNZu1ZrpE4LpOetkuPJIPdZFpVbietDQ6KoN5G3fA9Fxova+7qTpIcq7KugzB2S+Zs
eTnval36JloxKa1FvG6ieoNPCzEdotSoSZ6zLojWgoFeq0VYoFSlG5ZB5EgCYyeYLS+WT8CwmNER
1+fTINI6ITRO5qxfNIJbSKMrm9p3pRR1V/Tj2zkIz4OkPlT1cKC6+JZWouSJMiP7PImdKBFOvmit
Y3KGO+IfiWbOv/e+umizAPIF0wDCI92nKf9NsvZD27U0trOtGXSHfsmAULMZTKmi7IyCkX1iDqm8
Im55IixRyLObUGSiYePse4ojcpk1hPK1Jr7NQrNJov6psYbVYKEYMHkJivnckh6UdTgKC5ofikS4
dKts6qB8nIxFc7l06AZVP5hyd2NKFfi6cWBkVyuPUVdvsTg7qdD7GFjVa4WwFsNQrmVEdcg7+qPW
M1cdtXzt58j8rLrchImxjszkATzeIRCbe4MYFlBcIunGqiuX6TFEq5aI3UOSqbd1xHeRlf0PNeNR
E+sjlkp6pczXg4khSRz1m1Su9pUl33CT7IqObl9Yt+fGF1e9gWOtwxKayRXZVWq66hvxqkiHPab3
vYD2japcIPla3Yhwm9u62mbzsBkIZ7Hm5DAC+WrT+ZrRJo6ErDoqSr0fS25Zk/5U1qT3vpg/J2RM
qZW2bWv1tVHLHUrbraSE3/omutXM5o5xVYq40l/1WkgOjwmCoNxKGSqMOSu2voydrM13kJV4wqSB
hJFkH83585gqtySccqphmCEBYXFiXSSWMVrlZXnWsmIfGebb+5b8312crF+LE6335tdi5P/n2mTR
zX9am4Aztl/q778HGvPDf5YnmMcpQFQmeYjVxHdYyl/liciEURZBE1McqAyp/lGeaH+TcENhJtAt
06DhQdXwZ+tGWXzltOuVBe2FT139V6YJv5b7S3WiUQMtQ06Zgl9fKrJfDvkhtMaW3K5TSBRVcxrH
pw8fC/c9QWz5/4C3dVWg+G3+8z9+A0zG3KAi+sOKBUZFMy4OMJ3fqK2vjd2pmzVPlss3Du+n1KeL
XbdvLWZbCo7IzVRa40gLtgCNNnUVe51RlnhJdXK7BmWdGxDQGozjXbhSm/KnkGLNka1Dp9FBbdpk
sOcwPUu9pJG43beVcg4IPVucsD3SB1kBDMbMYKVgTm7sQdS2iAr8twGPlKJkoe4yLTVcVY3Sn5Wc
+oSvSamnosCn1xQIjzGYB9Cz6o8uHLNVizDEUZOw2ktIqu1AMs9GaQgQmOtHqw4UD2B+iKVZHa7i
kfxMRS7alVQrOCDqfN/X0XMiyweN4aJlZbA/AoBiaV5sYEzNgEerO19L2bmio0lvFrZF/iyI+JQk
dXyj1DpjKaUTm5EB2hEAF5TtrUG7QGCFUCo66aKwyctu15YiIQbddD0m5i6eR3pFc+0iet8hinrx
pZ7wTiQQgSUQcxq9tHit7MZAzA6LMQWzLBC/Q3Xlhr78RLzazuqMTVZpBzWvNBKD+2OqkOSLrqMu
q41OFpJdqOjyorndzEl6Vfscv5s53LeR+FQi0EHVHO9UQb1rUyoueSYvT5nZffFxOmEzhl5nRtsp
rSJbizWESjFGtAqJXKEnz51qMVyqkbgHjI3ytl/hcdmRYeUQDvigEqw3hNoJttkTzJZzEqk3YUZz
rPOztaH2x3CotwUmjIABTtizLWXWsEl7tlg5vdVB0toMYx9ocn+TfONB97tVUes7c9YoeOpnXW1L
m8457urmqeDNs7iOawFTS5JCvjIwnviaqyTjoRxoIHVVwFh6ggXemg2GdBLaAt145ilYYSF8Cnwf
yEfTxisBspBRVm9TEW/MNvZUpXzuavFJEMTbxsAfnOBM6UeAYVr6fU78a8JoZzucgkMSLwlLJGUx
1jEgrVpOVaIggtMTo3dFby5lFLcl9ag5G9rRHJt8F0EIYKwiMSfSb2NLfezKJlgJMgcNJLQ8PfFw
K0rxXuhKE2PQgEK2woAoSNrNaJJJ2AEU2PeBmNijrjSelZY9SVCRj0gSIEUr616EIV/UCX+1Kp+4
IIvRWog6prD7Ep6tm9W93zjZJPjTsgFHp7GO9EMFtQYtXYclDxmVUwvgmKk/Q1cNgeamaHG9dmby
lbd+clMwmW2hKov7Ul9S8CYEW1W9b1s4imrZbHNUDLakLD48uWo2iDRiL4i6A5BQ9smkzNfSrK39
cQaAPi4CTTUtvaKtCkwyUXo20EqQEyc01/DASWH0yx/aPH2rfeXFSKoN69sxDiXUOxKpjFMqHPxE
FjGuS8Q56trotGmR3RZaJ/CoGn760JFtN/T14GDWOqtkgLGyOHWsuiQ6dW5R5nujMlgQJV60MVzn
HexRrIQ2a9QuqPwNxgRQALFTzu0BfxA44/AopuJDUsM47pZupp+u8zHBx8qprYla6BOohKWW8Dpf
jYzv5SDI6NUwcTD3HbK7RMqGVU8xrTDgQbaMCzs058Sbo6g+zmZyUuRyg8HwWkLqBxOVcEXS0pbj
msuSt5Ulv8PaTWM0nfr7xcueyZnTQfVIUXp1oTcNbWax5nS7QdSL51xtOVFFwht8bdGdOtymXI75
U6mrZ1DvoKawmPebPg77NWFp05qlP3zwK64gd+ldnsGZoCls7Tq8lDso2oxhNawj6HKwjMgMigvj
TqsKhMlqTBBXRkK3O6k+k8ekutP96c6EwPg4+zmE1w45stYFkm0M46qdTIjvYp+vSbUunJQfJGpS
6x7rCHvnaE7RvCizQVOrYbtR+5yveGDIbmY1ysziCdTlNh8AKRho75riLE7GLqmme5EhfB8xLifM
875L5Tuzq6z9OI39thA4QhZ+OjllB3OwFMUnBp+Kq4xq9djppeQCPUFlG3Kjw8bAVewrjzLl5K0v
a+MK5rblxJ04eZ9vzxd9sndPKbFbDIEMaL+omX7d/oEGMlUK4vzUJrHLYG+rweQa6mb1+WUupx5/
vw66CfhgCo/9ZRHQGnOWBGF+ytL02OjyPavSlQmykOUS+c1k8QVM6aYnWDY1k00jh5iWZduU8z0r
1YH2NbDC5DokM1EHLqiEnYMq1M4D/7XodHxxPALI/E66GLx8/tJ/+wmh5MLMAEiWDKdfPyEt64qo
tZL8NGDBDiYCPlGzF1800q2LhrIKcxkhGaggFGgGTLuL7wHySzllSdefygAvpqCrW4U5iy36FfsG
aXVLaOKjAJz/mjwkd7LE7WAOzCGmkoWK9s0cZ2C58GUxWrJuc3alrughlCG2ognEVi7HiEKL4BQJ
0Q5eHJ+5zHOjZ+SWTkSsL5KCl6RNHQlv83pmdOw3ku6FaZR4Sav8EGp5hSOdOEyl0hE7W2SIVtjc
QrQUbEWUNqG+xYD9iiPuZTQw9BFEa49GepxgstuGMQkbURriI9blzJ5HZB4MdyI3tOD2SVHwze+k
7K4aNPYPCfR8VsIk08t2o0uD1xdscdISSREbiUe8whnhXO6OM1MPtN4HX3zp1FWnGVvWxSdT4Dhn
ENwwxSpy4zrEV4jRrdRxeAuiO6uUHiOPmWsEMGFGIdvULYGzmTTuGBS9JJEc/gCBtxb1KnONNDzK
BYMbpalWkUJQPdzom0zXUwQyINL0edxXRvPFGINAm18HGe/3Aw/k4vdmRAvp8Ne7DrN+kfNv7QnN
zIsCJt+dyz496WA3bdbT56Chc07SlyPpI8EKKTBYJT3yqeDo46y8wYJ+bKHvY5E9aoX5SKJ8uGro
fKy6TlS3tK07lAl0lmi9IXkv1Gwjs6m7gxRVrlkL1CMsRGJWwPjTqtsgQ8UhhQ3pmEPX2Gjh6I1U
Kz2b6UnrL3RAcfNLheHUmXyvyxO1MxJ4pZVcTHBMgWCAEHCgP+LEJR5F/gm4Ax7TwDJgpRs9H+8g
xR6MvnYqwEe6NnGHYM2b5Fut749JHN5WkXYD0WmtT+2jmUDVp24UPb3qqAWr3sNI0jvmYtxUaC2K
aBVdfKcvAveEU1rKk6QIj1LYV27VMjkLiUjtZ2GEd1sQclyvRTAPVt5DFiCOFWCSmrSiY5rD3qix
vEo90yziQ+iY3ylDebJAlDQIDXHE/ahQAeaGvrQFj0lHvEafnItwPBi5vhowXYRGROMGcZVsRddk
byTbyZy9gm6envpuVlLQFHrAuYSHsRes66Fq37AC+QiUFmUXNOG2I2WlCV05wIwi6QcdTn+kMD40
pSDz1GAGeUuFmnThQZB8L5GGhwLCcSBEV1qo2kFYrORE2Gfs4uEQ4B8lCrtsVhXwCmurwoeU2DVT
f1i1bO95jVK9E6rYTRNhHQ/mfsZ/YFgR/WgpWDgJLLozIu4YUq82mFegKDYEouKSrQ4kqFL1tqlw
TstljpkaOzUY9uV7v3nx4WJTBdAr4gUssVY2nBJSHUVM5oFqzOlbXumaZ0DegYCMeUKfVoW6IYHj
oRShYWbiUdfqGsmPeojDobF73/f3AM8MpwEBTSqsn6+HfnZL6oYNPanGnXRjU/dUIQb+D/Jne6/3
a+mLre2LJ/V9RPpBmSCH1oTZN+mAcgIea46EDDsjmRL+cE7qI7SNL+Zzv44ToECwU3xYGRYp88cD
uxyGOacLVoaieJWMn/1401uHPHhES/bFxrfsOR+Gqe9XIjpAlRGVGLgAl53xwzsbmhYKiNiPp1ma
aDBHY+NEvnynNUGxDQtGy8nYg8uCeFFIonREwarZelyge4rRwA38XqeRhDckk9djrph2r3TfhKg4
F6Jxm1K+cepx2ka+HYNmxHAVrLI2es5j9UEI0/Im6JKevNewXWdat9ewulFYeJMkDqQi+2tMRsYD
6pfbcqa1qGi7Tmm3kSLv52DaaqV1HhJSV9i2DSHZJzIgaZCq0K2csZQesrL2otTfDqVEnxlsSatl
L7M4gcwegqeKMcCDHCwmqEYJvvhUf+23/PH1ffxQl6nihw810dU8qoEcnczxOZy/T+YXwbBf/f6L
jUMUUmrkIJlOkXlbxpZdKfdf3Baf3xX6xf3HfDgREzmYTpp8hczP5mMSw+mLqffyKfzzrWeaOiWp
pAET/vVTGo1mCBuVd2FBOWt/tENGTXIfjcYX34b86z3+3v5iYqdJbLUWpal0caEpjjAez6V8ooz5
wabm3qUr3xU8TNTOg53bD1vd6Q/fbyIn/DZ6L6k3feeJbjbK9vNP9d2qevmOPzzW7y/0w31h9ZFV
WoRGndpV74oOxv/bbp1dhyvLW2BBK2nN57wiAssG7uDheus99ZT/+PxVaEu37/JVfLw7L2aVmKBS
U4aPdnoct7JHMsDKujJsCMh26K4fNOdAMPvaOoWrcZPfaps73w3W44Z1z57XhWUjK7bR3rrCodvk
6+ZMADdRBe63wu5OGDfX2tbaFvthU99nq9vPX/oF9umfH6yLClqQmygthYj70i5sEstfy1V5J7mV
A2DSDV3YZ6tsV6yvfhy8bqs5HNjjHUrkXXzCWu5AH0/sn77z7fNX9S5R+uQDvWT2RFFBrqDOqwq3
lh068yZb+3c5IkoH3xoGf7t2Jjtdm6dqIz/TSPM+v/5y+/7z5f/xHF2sNiw1kPHLaTyJc+EZw7Cf
heTUd2Lxxaa0rCqfXedi1TEjU+n7OZ1O1NR2P/wQx82AEhuUi4g3tFx9/q5+v8b99a4uD5NCxuKv
VXF3wjPCye+mDK7/3y5wceZTRpPZaMYBCoylHNMHtL6Ci3/xxRjLg/jhcRey0syNiQetKE9NlqxK
+XHuzC++la8+p4vFrZHShij0uD2Ny7eCYc4aY+fzT+qr93Fxg3XgN7q8yabTQGRcpJ+yBPl09oVi
6Iu7y7hYlXQ/ECaac+wGo+6oVu4laXtWlM4xADnGg3zq4XH9X7wvzUIzy5xFxJv46/dDDKkCDKDt
Tmr2Vsc4/0OafOvPr/Hbr+fDNS4emhSimlCF6njSYsCb4nWWfdFV+OoCF0vinGSjEhdVfxJZtGlG
J0r6xcf0vj9+9uBf3Mch+S2yn3IfczawieDY9Rv8nPaM3M8JveDc2dkXrkrMMp+vNcu7/vDoSPT/
pFYO2aMeaQznrKrEldmwW16kw7zt7StgfvyDrXmZgwn0WrBvWm/Z1a+eqitlx6kdqoiHXmSTO+H6
q5f3240c7tZfpcvlnRPVgyj5PHTSednIBRv/mrrNJcdO1qr7kNs7AHn7N/E7h7P6ftoP9vDF6iUv
y9NnX8rF9w4LAIipNVFLuEBtXXi8sm5b+9S9sU76AQ+J+wSw1c7p2K7qdbn+Ot/6q5fwDin78CUJ
Yyeo+VC2J2FPJopLZzP+qa2A6O2713FTetnBWAtr4S14UpxxnZwDN379/Om60Kb+WRD89UUYF/dJ
0itEZebcmtgYVlCR7Wip6raJc9dvx+02WoqWU5vZDyKy1GxVro0rBA9u54XbwQ6f0y9WyveD2T99
K/943DVGxB/vW1OwmA3lLCmVp671NRTpcTWv5kO0l+wfwRakjmNuyw1NvcPoGPceYmS+onadrG4j
dykS/l4c/Ht0r/JAfDW6d+pu/mdZ4fKTf87tsfpp0LQAluoM6M1fZIVwcQgbN5EH4vRlhP+Pub2B
T0N/v/n+CNBj9fpzbk8QMQcOsFwSuCpOxP+SrpAO2i9POb8Ji7GCOF7HvUyemHKxu1u+QOfINMtz
PkYFpl+9Zi6LLyyFwh5hk/XkuJbshnKedFwD1KfWbitNeuuJlLWLLBt2Q9oqcP/o/LditwmKwKOR
wiyzJjGkyGk+Lbio2Ii/D36NGq9nONvnyFjSts89IwPzIJSTdcVk/V6rkWxVgzKBKp0PFDb3QdAW
jhg9+LFyR4BtfjYWcVqxyNS6RbAmjlK0y9Cw+UQ8eYllXZNjS+g6mZGoB7sVOJrhLidPknyafVyO
00occ09oxpuK5MlxiaBMhQqwDRmXarXWlpDKnrTKzKhvw4YGNwibY7MEWgatsk5EK3R8si6nJfQS
bGHvGTNBmAqJmEFU3WKqWoVLVKalgnqp62jbk6IpSaHhDONAgbHw1mae0nFJ3RwB+C05nCNdNzet
F7vhfOMHS1bnktppLPmdaYSgLiPS0yqjnbVkfMaEfc6EfsZL+me05IACnl4PM8mg1ZIRKixpodKS
G9oBH+0IElWWRFG6qMy8yBhFX3UTlwaOvp8yEaQGv65bMkmjJZ00lJqXEMEgvkEEfyoRpvGSZaos
qaaKjoRyyTmdlsRTnehTs7BuMFUUV1UmHaslHVWkwc4Ml8RUAnzkNd7nO5XOvZP0lmsSr1ouOauk
CG/g7UeuTgSruER6mGRd+4SzNkV7NRDW2qYAwQhvLZYUV0mLHqwl1zUnkwacKzYVi9DXmfDXqZoe
ZcJgCdd9Vpd02Ezpb/olL1YiOJYrj5Dv0tfeIFMWw6diV9KEmsLEfknwrLUk0PZK/V1aMmnRkMjb
aIm+CYXMAPrSWZo35U1FCC2jQKJy6rgvTxCnjV25BOmMzZKpY7zn6yglVg6Yqz9JGRl2vabYpm+s
6nLctIq/mjQFA6hfP1kqijTG+iThlFyCRnPZJZt6oADtND5iM/DXQhbO90pZSLYqTwNsDePWrPR9
K02vaVgBzki0m9QnPE2fe2/O+pMcDq4EY8OjKzQv3fyf8Vxa27YwfqLBhxxjoq3UegjihdRcM6jm
I66PPnk0roHdflcY5AvQLbarRPUCTObc4Sbi23HiJ8Yes/0QTLRq/be09K8YuHaumrXiuQ+7glgD
7Ar+nO4rORe9mWnHJujQCCARgGS/G2K5cWn3PcXQ/iD1t+2B9ADkMjiCXkXRT+4KUS2RUZgAVKQ0
RAjzvij/e3dSqZE/2Z3Cl6Z9+c3OxE992JkUJOqU1jjALUPn0PWXokz5GyKLhYmGNxx9O9vP3wXv
7/GtNHHZr3AmLPmtf+1MwGmRmTJufleaLSPIf0VRpl1UXuxMKqjvZZtDlE8U2GW8JVmvolKmVXol
sm7ZmsrESFKHb2jNg3VbCecyJCuKgOJjkspk8E2kv5LngVpFQko8mkx0oyM98DsIMJCgJBxNIBgh
1gSs3KayMdNupbe+B4xxMxBGnmVMlwYUWjSInxqthZQ6MGxAU9SMZDcb8XFqu1f4Zd5gKV4rIJOZ
pJJlT/2Bn38dTFbEeK9IHCHKuk1c1pvasgBnBUC6tNUsxx4+3dCWtP6gY8Ayhv40yAygp1qNMIXJ
LymGRFkUH0Ox11aG73dOidhsXTNLdSwNjpKqNzttRLdkEm7SysLGUmIvCeNbv8cfjiKXGSe5ezl6
d7sxy9WgZ+Im48XtFUNGw2EOPJi5lNusb2dLSX8CXC3XE9wdOwoI6RYm/44ADx7zbnTFfBBYTOJj
ogIejwI5gVdapk5YEglpjHDdjMn0gIDsQq3N3WBI74lNF3ZZlbudWVyH8PHs3LR2EjIYmxnk0crl
u4qMdLkdr0n8ErxuxiwwZcNanE3QpxAaBTm/HkNUT3ABn+JYuqHtxLrkMxKEsJk5k67czVn0lOSV
O6Ss54h50UtH0UFFqhxX4lvTzPoGoRpy3qibPPi6DHd95bprw4cw5vUHIOvsmWXO0Ut10+lFaZe5
oiLc7l6LmEDBJiVGEbxahOCFfAOd6oPriFgDJ9/KqWjCRyACN+Qyjk5hlihblG5NsGhiV3k72S1z
cHcAPMmMu7VcKUvUdVZ056IwHzTJ53tvOiInxgqRVfkkddEBkNChjqxoK6ABhKfOxqjKTGCtZpJJ
bFFaO27Lta8UJ8JCDowwDUoWwoKDJjqJcfFUxVW0qlKmsF1Uu6OaO/rAC2WIRTc67TeVJF7JcuOU
2pBtEsnf10G3bfLyvhP6ddHkCH+LFS4Ni+lYBDyh6S1P1Qey4VMUN6bYPwIMe216mZCScT1EJSk1
eUV8qr5IVnhXk3FVVEPrJFZ/aybpqhV3FWei/ugDuZpEC8lcfpa0/Eru0SNp81nodKJiJ1T+S+nY
dTUyg3B25Rlxj059ww0a+Y4uwJImoIiPnF/KsKp0kG5lDCqJ5crE/i1MxsQdMwX505KNpSTN9zEm
IaIw34x47BDLVLGzwPDXEFe2oYTqbka9XiNsViLbzC0EeGQeedqo+A6TxWFlCSbRa1hFgjFsd4Wf
xKusV2EUtggDwuRnofSP1dz9wIUSM35FIRAow9XUxaTBgR9zphY8F8tRj1K0y2WIaUHa7ll7Fnp0
SWL7WFWEUGbtVsuJE1spHRq0+14kt3UdwrpYd6Tt8CxVOThXA8QVgIFglDwzF1S4Dz3i240Kth8p
oQIr4YTefupuLTGT2tvBqgVl340drXHSZ8NHwNVyf07aclMEFH9lTI5boSYq6DAtIGRnfpHq4KbB
WgNTbtypat6taqEe16ag7zVjxGdjqiq6LP0HeLTGTlod7XmsPiYCIOxwCV6VxFnfKQU3c5KTCMp/
pyuhFc+lr75gdgG2ZSIqRSP21lohejOsLzBvB9kWxZ5RfovqdkrG40QAyRhZNMhK4ajm9bXgd/vM
LJ77aMA4gDBzJNWmkUbRDkotdRpl3IXM58QB5JxRvkQJDP7FDtXKsGwVPOxUuSgR5fjkN9ZBiKen
NJTfZknktwTaW9Jn33KR+KF5J09j7KpaDUe5vklgedtiKNrj6I5YIELjKCYp0sKxeGG+sw2R4Tuj
QPuwQihvczOedCNBwKpZnEQE4Vpmx3QHQ5uJ4+uOjALJLhx9h0+h3Bh5RbJPIbZrRe1Z28F9MBE3
vBnFEglKwl2buLMWPMg1FiITNZ4bCpypzMQauHhNLHBibYj0lZwZYIurDGRDDSaBg9lYDmS+DAcS
oNE6mT0CI8k4R0N+7FID3AmITCvH6J411Gbti24Nkwe8+nbi5EMFyenMt9hAcGrc+x0g7m7IHwjP
3sUCCURGNz8iP0Mv3ekq9wD8Bk2UBacu2tfGsu5ZoFdiiaM6C5dAMGVDr/C+6rGzRGD90HpuOc9d
9WZ5Y2nF94iNDp2ieFLFdo9Qyoe0qfprf5ZqRxPrbSD0bAntENhY4GI7TJKtpU0MfQPQq6ZcrRst
GpxIbdDndldUIqtcbr/1mbQpE7CWaoeWcurU0UtEgjfA6VQIrn2aRAH/anBUcfUEmaAgSGtdDs1t
ywfqNGi+SUGLbXicOxKqOILqMOKa8R49teghrT0mLFkrIZqDtTBI+xSQizMN1NYwltJ9IMlXugT7
VGjKihhsMQMsB6AcaQGcZ6XyndgABqVGV2EXfxNEgs6EnHRFFjkWOG3YzJnMI6GZV3KN8sCUFNid
xfgDA/oDEwpQJMYP9EY/Rl1clQ0c9iR4BOKhk8gVbf2sfBQLc6Oo9e1A/CLKFUeRp8QRU4B89fCy
UDI7Q361knkXdNH1TLCXbbXiba4ui7igrVjrwz/aVP8uuxdkxCdld/Ra178ru/mpv8pugh/AZSDW
wssJF0r6UHZDjAJB+K5thFCxyCj/9JlafzOWYpjIG+ScODr4hX82hKy/8UsIsV1EkfI7XvlPx+3V
H41DzLr/pfX9N1goPBzINKBMYQuRAXH82mCclTAL5SISz4qJ9s7P5tjTpeci+AmibdYgNvxv9s5r
t41lS8OvsjH3LXQOFzPAMEhUtiTLlnzToCW6c8799PMVKW0r0D7jTQHDAQ7PxcGWrGKzWLVq1Vp/
KM30LLCxxAs6Rz3rcn5eqtalqaSXDeYrgLev46b5RiY2Rcm+P6oi/y4tjSOE56611EZBFJuVyrpX
TB3YeI9CmhWd1oZVkdEY4MG95haPvc+oMkATdeR4WhRKPZOD/B6hNGKtemqgOo6c7XL0ueiH452q
S8U06WtS0XROd8pChTZYVFj7TsJ0vENgdNFhuwLbov6E7+s91Lfb0c7OnLC4gySDKaGh/pCIekXZ
fAHfDOC+MQ5LRzocrfFT4JBj8smOcids4HymIOVqrNxdTjzL7Y5rPM3Ig+2Jh6uAVUiHZdXa5LX2
l6LjYiIofcdjEymTzsUgXY7RD+qkhdkFlGkAcSwaaTjKdDrlSos0snnd5c01YsflbWwMyzinKmOi
v4ND9lcZhWZbzhCdlftzL8oNjHJgjBhhuqhbZIH6pjnV9erYdIScqWucDMpjhbi85za3g210IC7R
QuceAL8DDGJcaOexpa80ixKMYyi3a7f1TkbPVMKdtK48bzJ0rUmRbViE1XAElm2et8FZUzFnnhfr
UFa9EERkFNZteVH3iIDOXSvMjmojMPrTOgvA4Om5XB9ntu3NawtFVUWt8fwpMrkkb1tbWVRrW4u4
LbrjsDbUmhgtY3zRr00wEjUDqRojpuz5eLvmugNdsKAog4dGKsw08JBXZ5qOZYIqrDa0Tp51Y/UA
AUOfOlHxQ9Q+Sd3D2SCMOixh2YHF+7U15sOppVkXkq+iXqrmjCGTa0r+Xdzr96mNBUjbtzcUaLDY
EPYgemE8hviFkDKsxrocJi1OIp6psxSgcYJwgrBaqaelsB0JhQGJbrSf+rUliRMtdL+8tyOjPoQt
Gs8N/EuGGpnRXDdxoLe6R/SyBZ2761k53Bvwo7ensjBDiT189+7jdpbikpL24aOOcYqBgYqaemh9
j6dY1B2FWX7VatxNyYlvcx2gnYkJS0wCbemoTnuy+dWFy31k8BMbbJ83FlcBRi6DLlWIXN+nhoGf
/SBlp5JljcGMoVA9tyIcGn2Jug0pueSD5i97aI0d33joYzw4ZN5x5PtCm/piLPMTnDF/oHQJJ1Nv
ucwWQ1Q+/Lucg9gAVRbq7r87V6ooGLJmS0GHv/v7ZFFwBwKGTzsBgSNEVV6cLBoGsw6GF5vTQ3RD
nws6+LNjcWbI1AFoUazZg08nCwUdx0GuHw1+xJ8UpEr/pKCDTuHbVoNO/4MjTLANTR6FfsfL1hXE
DwDqpZl96kuZxK1FR1vPdfpnereAqAO4YECYD0U2zh6m7FSOE4oVZmBFxygUZndB4lbntFP6SaVp
xU1IQrow+qa66CI3f8xrQdSKCU9+bA1UxTFwA7UrdTQnKC58qsqkvixC0NySbMKkgxCBOZirxLMx
ddOLyMsdbID866GPUTBWFOlE9fzuaLTN5La2B4MtSE8ASefmvK586xicblZMrEaKDhUDYUBA4/hc
a5W6gr0T3xlynC48o2Ir5261bBGInMPaDuZW6XRHVogqauO3+VVH4TaGh30I8SqftfC2YXdLaEo/
ZJXn66cK5qoDXJMsaiAe1Y200j0n9C/gFDcFQb5Ky0vLpwxheUrv3/ihw+2ha6CijCS3Vndh44xj
4vSp05jAy6WzLcRmWlg9M4PbaXBqSillmKCJh+8hAvfoIqCSAPuqvze7WFsOkmVkQJyRn/d8kyOl
QXiw7rJxiRiRQI+rgQxul3Ml8LDQcfPW+85KCqZoY49Lt/LHlRn0d6VUHKZecCJZ9AYShbtyZ0DI
lvIOMo2tNMNRBJuGVLoezqKsz2cGbAn6OEmG/EPQeQGw8xod8qJNKNhExVfdCmjdOMqtRuK/yCV8
WH25ayeGXQL3DyvzxoYjcFxLtXOLpIV50SN0PuM0cWSsao3ss1vJMI3b2PkuWZ10osW1Ncn75BLt
VGlW1m1/1Er0ieZdXBT1rHeDHJGqrDrGcSDF+cmuuH+O5jePfHo2OlZ421MuOLNCPTwHkBHewwLM
pt2IzkAV4Qo6Nr10yuLF6cFCKjf0SvfOHpPuNg1LOjBZj+d90Oef/DYupym6IvEs1XUw41WFD16L
mi3C371RzbySmwd+C4aJDCxpPbQVrIxOrL7TrujeIRUvZ6ayyrN8PCwCuZo43BlQbABW++9YvInF
5N2/icVNXa/KLZGYv3oZiYmk+IVoQvlF8Jj+Lq0rWFja1N11wZdShRnJzxwfZRfCLf1YRzFFZ/fv
HF+owupCwAxpPqHP90eOJxibvI3EALGhBEIXpw2HkjHP9zIStyq35kJyhkvOi+oQtG86r3QZc+tI
s92CHDPsDbaaIeEm4qb5edc1NySfR4YdwYEsaeUEvmyc9SmVnzZUIclW+glniDyNB606VJUaiAiE
oQXirvmVqsMPhQALfQBpDSyFsjtnVMKpZMgPaUHJSPHHqySA6ut2WQy/tKVd6VmXox230zRrRdXH
iqZB1pHu2x4VQ9p0GPmoV5Emxcdt0jWzxDXmcukbC8nqMbrU3OpYIULbiJakxjTIo2tdsVddVNxk
nBB50tHmlk3pOKScc+I5MTYWtZNfyo35Db3mawcbh4mLPwZ63x3l2GZW9Wk8czvnnKMcODTKCril
X8nR+CVp8ltuEqfY332T0VYN84SHHTt1mtrhmW6IMw2TkTG3H0cHbihebMXUVtvTwcqEF3FXTKUG
BImPUI6DKmzEIUIYyw5dBEYtqThP1fwuDOiYW3gcI3GdYONrDN/HQL3gAsF/UFwJfC8mX9QK+1Ol
2dwocMHCc8Dn/VzC4rQoMwoL5bzMMwiS/aHMIaRSg2mENUM5rkabo8mw2tO0N8qpVVrCdX3wJ2lT
5VNkVxIMr2BjOB6s8U7Vv+aooDQSdnuFns/bXjVm1bByobBAza+nqusthyH90VgeftmRkc5qfQRd
INd4x8co3ZWDObGg4C3yMKdVMC7tAitBha7K1I8zc1rqFe5jJipHlHfCMLtq5EQmD8WKXPhyjwXS
jQnYMC09ahTzqu+8r3WaO5M6qU69so5nrUT9x6bYM7ErWrewKeuZNWDHbcUpgvkJWORMYPODwvmS
uyiiJV4xRZXm1O1s7hsFXALuMEt8y71p3WZLq6f0h2pkMKskd1y4NawcfBHhkXl6AGe0kTHJGXPK
7x5smdq7sVyLNUXzfAE7En3brJ82aYSQUD9K9Not6tW6jsN7d2UqPp7RGjCdPrHnyN2eJaa6QM29
pnzmXPZpVc1iSaXr4ivHskdEh+dZw5tBOBjawWWGJDvVuJK7WvTQhM3XMNEwokM2QKePA71nRZC6
KFX8OcrOvkACR56jdljCzcNG3RmqT1quPWKiTW8s9xcaiUAXOhe9mt4EaRxOE2O8jwt8jSrJ8HBG
CcPDXNQjaxemfFZckSbFEwxGVuGIBMGgukdjwwmlxpI5qXTh9uEFN5nvoSvjBfFcyqOvaZd9RWod
+9lWX5Zy+C01YQAjY4UrXIadWpAhMJ/ZX8JSOoV2fWI7icwt1MBWOz9xsfSjYYDHPTgT+JzSfV0M
ZFTZWVYm8aQD9T/xPeuuHqFFRZ7mLNoc9fQqQduyA+AC883RL9Uos6VZIRSH/30sro9FFMx+cyze
N9+3FL7E37w4FLlpkPkjM4ugt2gqvzgUTUix0IfxAnuNhHIOTM2hHGXJKv+ES8zLQ9HBEUNBDgV2
+5/qoWvylkMReq5J1xlqFNcoHv3loRjXZS33WS9f1hxQtPpws+R8OVURM5g46GBfGeJEAxzD3ogQ
YsjA7sA80k/KzKDdJs7CQHeMs1Kcj/r6pOxMZKWxR7f7/LwcpWneyjqKDg9Ki7gX9gioVjcuok7d
sePah4GVy7M88I4aIQGaOkiVo+1926XlQg/89HPheehf5/mDCaMu49QpFTSddYhqE9MrHuIB/4Ss
0lMQVN2iz/t+6o2Zn17Jmn2khLr+SdKIbzQH53Unu9Okk+CoKIKNGxefBrdeWo334CZ2d4jGtjz3
hrw4pkuGZGsmXdfogH1yAMlMEtOndqSVyGug0TRzA1OfehLNxtTF0LTXOWQc7bEKzCvfKC7sGlfP
3I/uAlX7XGdOPpNCdZUj/4warHdbggELiuq4ods3SUZlgV3MoyxHKRUGHxkB2tkyCbWp3iepdxqO
zmcF8NLEGLH7KlX5M4bbGMDzJdQ+5w4mgilMH2M5NBWCLlZ1x1UIBREYgxTaaQ3q8ic71hX0SIKr
wGnxl09gQJ8MA7ogA9ULmSqGTDXDHoPTVpQ3tLC6bkxKKL0hc1Mtk2pqUQ0JzRg+YB5j7MAtpZAk
7mKpowK/cjDmjkBGIRcWpJV96aj5cBSnNvYSZnisAEUDZ1yu1IK0Bk9M70pqIhlxMuPBoSdzUQzq
jzgziFJclOWZH6rOBbLukEtSONJuBLMZlll0mMZpfuJF2SXZQE6t377spAzMgsn1xhsyJF50jY5Z
dtKU6gV3gXTaaCi41gHANKXJMOQxYGb2LVZnSvPNzP0vURQ1wB3hSKt+OhtVn3nzmNw4DTMO0fGL
RTFPcbPvCSClBkP1Ez2VrhQ7/6H76Bf4/VFT9PY0jcxyKteldmzGxXFuJid9bUAw1S4HJbrUNXRH
ndjhQpqFX+XOvTUShMHqyEG/RbJuy9pDhEJRz9xchcBuI+lRFAkCbbJ8nQz1idwFR0UUXgcBCvxN
fI+ey3c0yLOpEoH6GKr2wi6jZlaK9nUmp+ckrDLQEekEw1jgsrKbHDZo1VNLs87Aqj3YSMjMqnr4
mmsq9QcFtk81Alus8REVegsRxqi0qOSLLu6++yLzMkUOlppBMclIyzSSY4c0zSRdC0XeBo79oZa7
Q6uk+CyJ3K4XWV4UNgg4kPcNIgNMB+OxJiXsCurDCUli4ZYqSSp5I5o+0OGrbzYJJQZ2twoJpoKY
CM8H9lIgC0lBS5GL8sAzb2w7mO4RrEnyVTwDritH+zaITJb7fjwNRHYrRYN0nImMNyX1bUmBdaoI
PimxLXLjHM17G+82MmZX5M6jyKITS5+jIdTMQpFhJ6TaoUyab3NJgUNfjRMpIyOH20K7TWTpKuk6
RlGc9SKDd0k7SY/7K2xosUMkzQeU88QZ+XeLSUC6f339/Lzyl9sMN8VfvThpNeHooXOT5Mh85S0u
kF3ITwisL40m0c56LgTKB7pBG8kG8GXhLCuQ5z9bTJRsdEsUClHQ+0PnEUMR5IWfGHYDZJdpGqJl
BajLBnj7phCYxtQIYx7jsnX8qGKNoS1qyIswTaWTJvbmCreFqSFawW7bHGPXoYA0VlGZbJ2T2ojM
aQ5G69ALkWaRsuKoCUn7UiWIIcEn87DJHzy1JzWkWta7RyidNtJMk5ovFbox10MSdkdmaboAEQeT
+58FDBVlrxzdgHMuzM3E8FSYiZbyvcbLW3abepF3KflziNApOgQR1tvN9aD0V/STzauCsvrUizr0
suMU5D/lwknsCDhx4+SIYnApgew6t/sIcdNGWiih5c5D8JZ4fASPSqr23C1b2mp1GrYLU1hve/mI
zKQGETxyU+XSVQnAfZPyM6QaFxZaQZOctx+Fg3BpyfSYnQB9S+EvDGCbjjeWwzHWwyEWxD1WxHXJ
3bFO1WWN7MapKfyKs7o16E+H15lRTSMzO20lMpPS1JAZSMimRx9htBILZKRnkKZauyLb0m2OTbKD
XTLQO/vYKMZPZRcNMyCBX7XCesiwWC5QbZmUmC4jyP7JqN3PXouSUkfwabFnLnP9WMau2ag6EMLC
wRknbusIQZK7sItPTEye+xC35wHb5174Pze1cxhgCG2kzioXDtGKjm9mKFyjU0jiE8I6UkfCVjoI
OmsSCatpFc9pG+/pSLaSSSfsqLGR6nGowaIaJQrUD6vqq9lW97YJgktXs3mEvhOWgBhvgDf8kmmY
XifC/rq3TW9W4Yid8dXHa1hP0Mr1PB3RdiUDyKae3nzKBQ5IFoggEr8HPa/vWqBCCd3AQ1dTHnOB
IvIFnih1VawTQRh5qdUemgJ1hKwSJuQs1yNOuAChFgFPCgRSKde1Y0lglzwbvV/NztgIAJsGAE46
QCdNIJ4ct7PmSlhFs8bExz4FElDJImu05XyaC9RUgOu26bvOhKozJ3vAHnF7pF9bgbdylQLPGBBY
HVAsrwWT5dv9pQZISwWshXHipRnZ+IMEh43KGUD149xhTIT4bnKB9zIBfkWJ+dVykksQeVy9tHCY
uYDEIpQU0F1bVWl9h/aJDI6Y+2kW5s68spxymjk1d/UQgHeUn6sqNtNSclsBS4sK76zG1XKhAFgL
VLwPAbDpTUenVWDayr6/TGJ1PLHl+N4H/2aYVL5NubOOw8I6U53kIgArFwvQnC3gc1kUjQJ2HNA9
BFwHwi44bsDbqeDuFPB3sQDi2QKSZ4LN0y3ja1NWl6oA7fkYqsx6AeRDAAOxOgHu41oZTSjWHHk6
5rKIg2NcCRawM92vowAHoqBWCaFZQg9/B/IC3jLFiBxcoTuWq0IADbEcpIztqAtZgBB9AUd0mNZp
C0JRBalYdwj6awK82IaVjhRIaS4ikI2wz091kI6B71sTZEg1lnUxwxf+fjS1z64wNkIuD0VjpDNo
yCrXBhhKKGQCo5ZeqQJeqYCzNJ3mqBbAyyK1XaQJ2qsSTKYLNrP1K7qYAqyZ2yeBgG+6VnIVg+fs
rUA68UF4BgLqKdf9iQn2s/Vi4I6UfoQfTjw10y6axwIsOsr++Sjgo+g09zOpjH94o/u5yKncDQo9
T03ATns/fCxzOi0ZPR5ZQFPBJVAyE3DVjuvEogbBagmMzViMV4MAt0oC5ho53k2vBfNG4F/BwSJ+
2B7qeXli2NjJpYrvgRcANqt1JhcbMzMO3WS4S2hH4t2wpK4THPUCdmuDv6XocKuCxx3RExaNjLne
6ocliN02s08DELxh5SJEyCKikG+iKQjOd7CUhxHcr+ERs3uQwPj9zAulXAHjPK9BCiMnNLcEdLga
0PIHS5zZ6cyNAAv0oIyB3S8sUMeyVx/qLYtAJh4JWDLtDHuGdXM87Qfrcw52mWxvFdUEykAzszlE
kgWbu5/UIJ4V8POTvnIuSwdIkgoqOmbdUhrDxskSaJ5W5XqCN0+J8g3t5TE7kgdvydlZzrPAb5Cw
GBAU1jTz0rYlG+lhyBplVd4FkXJjpE08zUbnVrHqe8zTIT4QFyYVxblJbKF14fYKeGb7OwiI/qh0
Srxvs+9lWMAUsLPHCjYA1lwQAFJfGy+QHDZmbl584sw773R+1+XoOToYt4IZgN4gZXMnaR5dM8L+
zioeNT+9DEMHPXHJxe22dc+V3ORC7Q2oGGROO/P6WkfZsSEfrolgrm3A4JbZZXkAtBkSU9Z4iwHP
jrlFnJSoknVSejNko38USOG3yEKRj/oUOBdY9G50RB7Bd+C2N4qBXVXRYhk8StZxXvscxakO74nU
aArhB4VjSakuhfuRNyQ/ELDIpnYCiwidPopj3pmsBQj71fkPW0oBBOrOfYcVzFwqEIaCWLKMfMPA
B1a6k4vGvSpRPiaaV457rmNA7Qe6IaEwBypN5j5UXGQxEobcAwMZHEaIffgIoM0p/A299995tEFu
++s8+gsuAs02rJb4s+dEWrGpPgkQFFkUJO6XiTR6vAZ1IprtuiM8P19gtfQD9NURX0OpF/TQmvL3
nEhrB5SqVJMkWkZyS/zqDTbrd1gt0aV5lUYjiSuodCDGFBytdR7hZcGqlyWvLcu0uRiB+xVUZMFP
gYhPNn2+X0LCFPldvo6snwp4V6FGh9eBwCq8fCMFpl5hhnp+ITeGc4tkLYlbYsXDuCDFp12g1Wmj
H1fs/BuUtQHcm6iPh7bl3edZiK0O3IhTxRKNW6s0+k/+oF1rQ9YCxhw8qzpto7DSvrV9YdpQk4q2
hWxEeb1FchqnbCnGQySulHmQ55k6z7q4gTAmeSigBpWbErIGZ27YYynPqvTBiPXuwtLz+BJTT+D+
Sh7FKEC5vYYRHXEvFnK+hOdMu5RbIfPbxuFlKZR/kxzJJd/5pCnyykAbOC28Q3rEny2K2inawYYQ
EVYB7UNXDPAhdg+dBOh4cuwOQ4Fya0JrABnieCh++LZ/PSJPrCBT3GjtDe6EePLoZXhvRbS/hUDL
uWTl5UVRGeZJHDhg4hJYfSM1D7Cp2g89rOCIub58kdYFNOcWy9IglhA+RmcfWsFFlVaIwas20TAY
1aM6tW4HRbpDD6mYIQIGb7GuPRXYmoZCkocq75wmYTC3dTFEjV47VZrbUq+1fmbaqX9dQWtDK5kG
kdPL/Z0eozVCC5F6fBU15UyXSkD/sBMLs7ZPfElRLl7svScY4kt9Z5VN9nYtC7IRtwLKr8g8c/l8
ucSKoaS6iWD/BRL6Sw435Wa8sSZwP7A2ThfgaMF/zcF3zMs5nPwT/VCbqwt3+i8NXyhCv3gOGLfo
+MA1wgjEkKHX2m+KwIgTdo1X+dmFq3onQ4yNX4SK6iTvdKDVVuTMi9aFIqCaJdhIWz73rNI9UfiO
zKiAn2KhLuHisUdd6VvdZ85hpVJyquv80LXHb5aBvmToUul0x/5rEVPIVMsCp7wq1GZkB0CjffI1
w+/nUJWOOgXQs4sDAHa5QC+dxahx16NAhMQk9UxE4yeBQwEvSReYF8wyIMAUvfJ513lnKgRHQPmw
S7FDnCRJWM3YxBcdGctR4aHGhibVrUc9G7DxedPbMsW2/EiOWGiWU8B2kMOb33/Fr4PIE5Fehsyl
OxTyNedNEHFGcCV54pYXcotPFoEg5sPLKXQpf25kgCH14l+Jbm5XUXjxnm++TakHstPi/XtReNq9
4QLeb2hIjpW10JPmPCtciqUmzWkLZKERVzTV9HQ4G5GhncBWPcsC+04OgNJAKf3hwpzAbwsdR/NK
dscHwyu+JR06h0Va5Bt1iv8HZ/LTI2716vn7bBK/XSu1f87mb91+/lf/6PnQ2z7QH5n/qKyzV6f8
+sHW9kO/HSde1givPGIvpDkHqqkKXBpbXrzArcUZYKTNryUwGRjv0oNi4a7f68Uc/WoWfv8Br1dv
fZHej/Pbhyd3wVDj+PE//2NjWCx6WTtOApmOA7hc4VOuXwTGV5NAvkNktECLbNKq/+NJIEf7ew4M
wyH1+ePPzwf8uQYQXBBVSQeQ5PrF+fP240MbItGCSLh+7eVKEN/dP5gJ6q+vpoJ81qYwq20+KRvs
1VSomIjixYCn/V7OAZuYL++PV8PrObAPND6gTNL79sPLbIM1LWKzUDZv9X+8GXj2n7vhKSJwvO48
B6RjDmwTa7MO3kYE1gFdPtvgXrSvC2GzQn/az/2Ts4FGBcj/X4VFzgaDwKFwSOzpJAgcw24rARy4
zrlAs2YTG98fkPKBya91mk17OgnikXebBM0Wfn4q93raYOIlAsarLIFJsGmQ0QLd00lQNif3LtvB
PECKgeCvc+SuX28mgSwB4U/oaKLnx4TvYWDcfRLIF8X3TK70i5UgKBU2Xa8nUsceTsLuMUE5sMRV
XRVHhHi9yxJ0ZknXyBI2QXj/JkHZOWkmMAoom05F780+UPUDilwadO+n6dnX3bDZpruEBKDpUFWx
ttisA5GAvo2LJBAA9NYG3M/J2f4tB3mTxewyFSYofYXKkfJ0R3g7FeIOZdOHsoUA5n5Gx92vD9TF
IRUomJC8XQjki+AkIRbvbUTY/eKgHlhgWgz6epuz4W0tQTEODFYImBjB5tjf3aDsnjojVCjjSCjD
MN283qwHmivsExMg+77eH5Tds0bjAI1fcX3YfN3iavoqOhISxC0LOPS+JkyiFL9b6iyOST4fjkTm
ZiG8yxVUOFHEDFKqPY2LTwF7l8OBL5qogIM4yHPxend/YBIUQ0HkYV/vDwIRuNtK0DTs0mUDXMFm
Dt5vB4v9IvD8wrpqL0/Ip4vNLitBR+VDRarp+RL1trBCYMTqlAIUq0W89nVTPGX2u0wFX7eMLi5i
gpvI8HYqVEoPkCWZCX2vp+KpBLbLVJgHlBfIjaynWyXf+quTgqlAqReei6DA7OfW2D15tA7AGXNQ
QAVav96tB/UAYDJ1JmF1tpeTIMxQdgySTAIexzrwkfWafxckWQmarSoId27ea//uUurOV2vNYuPr
bAZUPp93/qvtQOIEh9oC+yJvlsqergdt9xs264EtoQuy9vr19k5BDVp1qMk5ziZ07O15sXv+4Bwo
4jZhWU/Xq3dBEoAV/X4NJuGeroen6vAuJwXpgUE9RYDItm4NGjOAwVCJ39tK9FPg2mES0CEmPCLf
qzzdKd5VG+QDtgxtm6dL3B4Gyd0r0WIloPPznD29K8ISJFVoNjBk9zVnENIYOx6X5oFpbRCVvwyP
poEMl7a3DWuhsbfjJHAawo6mCvtUenx3xUbLiRYd3nD7WnoU9cIdJ4HtACQW3ZVfFN8EcoE2pdBY
3NPT4R3H/p90rMGoUGBk069f7+oMwpAELUk2xJ5OglAG2HElIHcmWg7ooG2/RygWLio4cqGys6+T
sPtlyj4g8otpeLpHbMkbKc5SqVY3k7SvZ4S2ey3aBqwPvg21ns1HfRceRToh/ketVrz2dVVomz27
Q+KkCf8g8kdKDX9/668uVtwmEH6VaWvubR1y98SJ9iwdetRDnlLot1uD+MANHFeMvd0Tu+dNtKog
4xprV/hXK4APr8AcZ3aelsiehkht94zBoiEro0dDjrx5vS26qQfcuqHYaHu7EHY/LA2yItUE4cxU
PAW/V+uBehOSATCghJ0wB/P+XaWevp1dwuK63oTyz/Oaf3dCkDui1scZsa9nwztp8n+SOwLSoLaI
tc/69TYsshL4JTqxFBeeVspergd99wuVLja+KDT/GsuB05EmOHHPkWM/p2KzXHfbGqIZRd/yV00a
5YAAqkCQ2Ne75RPiZJdJAPmowepEAmWzNZjWV0FSlFqQ9Afas0nR9i9IvvOz/PP4QI/K0hUdadLN
mt/SngEzzzGyt0yZd7ZpfzwJoBngwJAfQQpev95dsLH1tEkvOVP39LgUPtQ7XrDtA13DoAJGzGYS
3p0U6+wSMT3BoNjPwLhzBk0NGrwfxaRnpgzp0auYQL0JW1UTbfW9jQm7Z48WiG8ZUJ/5K1wL7Dn0
pqCRbN5rDwPjJq3d5XSgL4VOAOyAp2zhXWBUDlCBBim8t4HxnerYPwmMoBpNsC2/SJlE+ZWECbbM
ppG5r4n0O+GIP54KDfA7abIm/4o7tc4WqLyZT6jj/dsUwih65zOCtgwXJiEv/jouEjjRTEFi9Q+W
wP9iiv7mHk/9IH5cU5PRmFpzgTeU23/5D555u+8HeMGwW/NNX/3Lz0O+2oy94eGJ//6v5SN+1LOg
qsvgoVbXt+YXv32+Ra/f6envnz7i+zd/9WbPn+v5hwtMp5blAyKba0bs04NeLBO4zf8d83+Py7f8
QFEVf/6ZeO///I/XD/viq//96EjqrJ4Hek1H/vlR/+ngyfIxK7cMzprZefCJEPF/HufFg5PL7Tz2
dBkvW76S6nmsF+OTB+w+fhY31buvlAs5mdYHDJ7W5fKvabbVPljs5J3fYraK/7rIyq3zT8a88/jz
+K9ZVrJ4nsd6Mf8kvjuPf1iiW7dtcA79nQc/ildp+jzOiwf/iO26aJLvWfxYvx9eUKF2fvTjJF+V
wTJ+Hurn0ysfsWWP02HLpAuews5Pfroqt8y5AI7sPnSQelsCgaBi7jz22TLaEsMEVP0Dhq6q1bY5
+YgNepZVf/136q3i1baZ+Ygter58JAA/z8OLhfgRW/R8WQbbpuYjtqgYO8+2RXcBqdz5az1fpY/Z
Q7Ategn++geMXz6sHp8H+jnvAim+++AZz/48zouxP2Kbnmdb5+QjdilD4xe0GrY8+Ufs1ItlvmWh
i9LTzhN+sWqX73NH3H0/YotelktCwPNTvvg6P2KLfoqXD9s8mkQDa+dp+RQ3ybbkTqC4dh78OiB1
rILHLTMj6Dc7j3+zfCi5EqT1lrNU4Cw+4A3SvyarNNj6Bh+xVW+W4g3KdFk+bg1k2kdsWvEms2Dl
bZulj9i1YvxDdsBDUD1se4+P2L7iPU6yZdFsO60ELP1DvuuzJqj+uvweVPm2z/ERm1l8jvNlvdo2
/kfsZ8avl39NluX35bacQfQSP2KmeI9pvP0dPmZji0+BQcf4/Lg/Y6ro/Oz+Efzl1juh6KjsPvjv
jLPXZY0dyhQ3wW/dU3cePouX27IHgZ/afWJITLbZPYgWzu6D10t8hONlUz0P9mLNfMjW/Z1X4q7z
/lsnjJ0HJ8dHYu/9vAg69M4T/7khEmw54kWf+gMGp0CUbKvLidb0zsP/Xjh513m/z+ItcV4Uo3d+
8N84lP3+qbeVZf9GQb0v1j6rO277s9e1aPEvHuLVsvyv/wEAAP//</cx:binary>
              </cx:geoCache>
            </cx:geography>
          </cx:layoutPr>
          <cx:valueColors>
            <cx:minColor>
              <a:schemeClr val="accent1">
                <a:lumMod val="60000"/>
                <a:lumOff val="40000"/>
              </a:schemeClr>
            </cx:minColor>
            <cx:maxColor>
              <a:schemeClr val="accent1">
                <a:lumMod val="50000"/>
              </a:schemeClr>
            </cx:maxColor>
          </cx:valueColor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38101</xdr:colOff>
      <xdr:row>0</xdr:row>
      <xdr:rowOff>0</xdr:rowOff>
    </xdr:from>
    <xdr:to>
      <xdr:col>26</xdr:col>
      <xdr:colOff>142875</xdr:colOff>
      <xdr:row>42</xdr:row>
      <xdr:rowOff>142875</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247901" y="0"/>
          <a:ext cx="15020924" cy="7743825"/>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38100</xdr:colOff>
      <xdr:row>43</xdr:row>
      <xdr:rowOff>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0"/>
          <a:ext cx="2247900" cy="7781925"/>
        </a:xfrm>
        <a:prstGeom prst="rect">
          <a:avLst/>
        </a:prstGeom>
        <a:solidFill>
          <a:schemeClr val="accent3">
            <a:lumMod val="7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80434</xdr:rowOff>
    </xdr:from>
    <xdr:to>
      <xdr:col>1</xdr:col>
      <xdr:colOff>542925</xdr:colOff>
      <xdr:row>6</xdr:row>
      <xdr:rowOff>137584</xdr:rowOff>
    </xdr:to>
    <xdr:sp macro="" textlink="Sheet1!G5">
      <xdr:nvSpPr>
        <xdr:cNvPr id="5" name="TextBox 4">
          <a:extLst>
            <a:ext uri="{FF2B5EF4-FFF2-40B4-BE49-F238E27FC236}">
              <a16:creationId xmlns:a16="http://schemas.microsoft.com/office/drawing/2014/main" id="{00000000-0008-0000-0300-000005000000}"/>
            </a:ext>
          </a:extLst>
        </xdr:cNvPr>
        <xdr:cNvSpPr txBox="1"/>
      </xdr:nvSpPr>
      <xdr:spPr>
        <a:xfrm>
          <a:off x="0" y="804334"/>
          <a:ext cx="800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5E79CD-AC48-42DD-B73F-7FFE9AE94D88}" type="TxLink">
            <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rPr>
            <a:pPr algn="ctr"/>
            <a:t>2,400</a:t>
          </a:fld>
          <a:endParaRPr lang="en-US" sz="2000" b="1">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ndParaRPr>
        </a:p>
      </xdr:txBody>
    </xdr:sp>
    <xdr:clientData/>
  </xdr:twoCellAnchor>
  <xdr:twoCellAnchor>
    <xdr:from>
      <xdr:col>0</xdr:col>
      <xdr:colOff>1</xdr:colOff>
      <xdr:row>8</xdr:row>
      <xdr:rowOff>41275</xdr:rowOff>
    </xdr:from>
    <xdr:to>
      <xdr:col>1</xdr:col>
      <xdr:colOff>638176</xdr:colOff>
      <xdr:row>10</xdr:row>
      <xdr:rowOff>165101</xdr:rowOff>
    </xdr:to>
    <xdr:sp macro="" textlink="Sheet1!H5">
      <xdr:nvSpPr>
        <xdr:cNvPr id="7" name="TextBox 6">
          <a:extLst>
            <a:ext uri="{FF2B5EF4-FFF2-40B4-BE49-F238E27FC236}">
              <a16:creationId xmlns:a16="http://schemas.microsoft.com/office/drawing/2014/main" id="{00000000-0008-0000-0300-000007000000}"/>
            </a:ext>
          </a:extLst>
        </xdr:cNvPr>
        <xdr:cNvSpPr txBox="1"/>
      </xdr:nvSpPr>
      <xdr:spPr>
        <a:xfrm>
          <a:off x="1" y="1489075"/>
          <a:ext cx="895350"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3AA6C9-B2C5-432D-B3D0-669EACF1B8D7}" type="TxLink">
            <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a typeface="+mn-ea"/>
              <a:cs typeface="+mn-cs"/>
            </a:rPr>
            <a:pPr marL="0" indent="0" algn="ctr"/>
            <a:t>11,997</a:t>
          </a:fld>
          <a:endPar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a typeface="+mn-ea"/>
            <a:cs typeface="+mn-cs"/>
          </a:endParaRPr>
        </a:p>
      </xdr:txBody>
    </xdr:sp>
    <xdr:clientData/>
  </xdr:twoCellAnchor>
  <xdr:twoCellAnchor>
    <xdr:from>
      <xdr:col>0</xdr:col>
      <xdr:colOff>0</xdr:colOff>
      <xdr:row>12</xdr:row>
      <xdr:rowOff>59268</xdr:rowOff>
    </xdr:from>
    <xdr:to>
      <xdr:col>1</xdr:col>
      <xdr:colOff>685800</xdr:colOff>
      <xdr:row>14</xdr:row>
      <xdr:rowOff>135468</xdr:rowOff>
    </xdr:to>
    <xdr:sp macro="" textlink="Sheet1!I5">
      <xdr:nvSpPr>
        <xdr:cNvPr id="8" name="TextBox 7">
          <a:extLst>
            <a:ext uri="{FF2B5EF4-FFF2-40B4-BE49-F238E27FC236}">
              <a16:creationId xmlns:a16="http://schemas.microsoft.com/office/drawing/2014/main" id="{00000000-0008-0000-0300-000008000000}"/>
            </a:ext>
          </a:extLst>
        </xdr:cNvPr>
        <xdr:cNvSpPr txBox="1"/>
      </xdr:nvSpPr>
      <xdr:spPr>
        <a:xfrm>
          <a:off x="0" y="2230968"/>
          <a:ext cx="9429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2997B3-DB91-4EA8-B180-24EF70612E30}" type="TxLink">
            <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a typeface="+mn-ea"/>
              <a:cs typeface="+mn-cs"/>
            </a:rPr>
            <a:pPr marL="0" indent="0" algn="ctr"/>
            <a:t>649.0k</a:t>
          </a:fld>
          <a:endPar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a typeface="+mn-ea"/>
            <a:cs typeface="+mn-cs"/>
          </a:endParaRPr>
        </a:p>
      </xdr:txBody>
    </xdr:sp>
    <xdr:clientData/>
  </xdr:twoCellAnchor>
  <xdr:twoCellAnchor>
    <xdr:from>
      <xdr:col>0</xdr:col>
      <xdr:colOff>0</xdr:colOff>
      <xdr:row>16</xdr:row>
      <xdr:rowOff>57151</xdr:rowOff>
    </xdr:from>
    <xdr:to>
      <xdr:col>1</xdr:col>
      <xdr:colOff>323850</xdr:colOff>
      <xdr:row>18</xdr:row>
      <xdr:rowOff>47625</xdr:rowOff>
    </xdr:to>
    <xdr:sp macro="" textlink="Sheet1!J5">
      <xdr:nvSpPr>
        <xdr:cNvPr id="9" name="TextBox 8">
          <a:extLst>
            <a:ext uri="{FF2B5EF4-FFF2-40B4-BE49-F238E27FC236}">
              <a16:creationId xmlns:a16="http://schemas.microsoft.com/office/drawing/2014/main" id="{00000000-0008-0000-0300-000009000000}"/>
            </a:ext>
          </a:extLst>
        </xdr:cNvPr>
        <xdr:cNvSpPr txBox="1"/>
      </xdr:nvSpPr>
      <xdr:spPr>
        <a:xfrm>
          <a:off x="0" y="2952751"/>
          <a:ext cx="581025"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E91446-B0DD-4AD1-9C73-615FB0FDC263}" type="TxLink">
            <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a typeface="+mn-ea"/>
              <a:cs typeface="+mn-cs"/>
            </a:rPr>
            <a:pPr marL="0" indent="0" algn="ctr"/>
            <a:t>4.0</a:t>
          </a:fld>
          <a:endPar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a typeface="+mn-ea"/>
            <a:cs typeface="+mn-cs"/>
          </a:endParaRPr>
        </a:p>
      </xdr:txBody>
    </xdr:sp>
    <xdr:clientData/>
  </xdr:twoCellAnchor>
  <xdr:twoCellAnchor>
    <xdr:from>
      <xdr:col>0</xdr:col>
      <xdr:colOff>0</xdr:colOff>
      <xdr:row>20</xdr:row>
      <xdr:rowOff>152400</xdr:rowOff>
    </xdr:from>
    <xdr:to>
      <xdr:col>1</xdr:col>
      <xdr:colOff>276225</xdr:colOff>
      <xdr:row>23</xdr:row>
      <xdr:rowOff>76200</xdr:rowOff>
    </xdr:to>
    <xdr:sp macro="" textlink="Sheet1!K5">
      <xdr:nvSpPr>
        <xdr:cNvPr id="10" name="TextBox 9">
          <a:extLst>
            <a:ext uri="{FF2B5EF4-FFF2-40B4-BE49-F238E27FC236}">
              <a16:creationId xmlns:a16="http://schemas.microsoft.com/office/drawing/2014/main" id="{00000000-0008-0000-0300-00000A000000}"/>
            </a:ext>
          </a:extLst>
        </xdr:cNvPr>
        <xdr:cNvSpPr txBox="1"/>
      </xdr:nvSpPr>
      <xdr:spPr>
        <a:xfrm>
          <a:off x="0" y="3771900"/>
          <a:ext cx="5334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1037BF-40FE-4714-9C7E-133C9FE9C62A}" type="TxLink">
            <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a typeface="+mn-ea"/>
              <a:cs typeface="+mn-cs"/>
            </a:rPr>
            <a:pPr marL="0" indent="0" algn="ctr"/>
            <a:t>2.3</a:t>
          </a:fld>
          <a:endParaRPr lang="en-US" sz="2000" b="1" i="0" u="none" strike="noStrike">
            <a:gradFill>
              <a:gsLst>
                <a:gs pos="0">
                  <a:schemeClr val="bg1">
                    <a:lumMod val="85000"/>
                  </a:schemeClr>
                </a:gs>
                <a:gs pos="80000">
                  <a:schemeClr val="bg1"/>
                </a:gs>
              </a:gsLst>
              <a:lin ang="5400000" scaled="1"/>
            </a:gradFill>
            <a:effectLst>
              <a:innerShdw blurRad="63500" dist="50800" dir="13500000">
                <a:prstClr val="black">
                  <a:alpha val="50000"/>
                </a:prstClr>
              </a:innerShdw>
            </a:effectLst>
            <a:latin typeface="+mn-lt"/>
            <a:ea typeface="+mn-ea"/>
            <a:cs typeface="+mn-cs"/>
          </a:endParaRPr>
        </a:p>
      </xdr:txBody>
    </xdr:sp>
    <xdr:clientData/>
  </xdr:twoCellAnchor>
  <xdr:twoCellAnchor>
    <xdr:from>
      <xdr:col>0</xdr:col>
      <xdr:colOff>0</xdr:colOff>
      <xdr:row>7</xdr:row>
      <xdr:rowOff>37042</xdr:rowOff>
    </xdr:from>
    <xdr:to>
      <xdr:col>1</xdr:col>
      <xdr:colOff>933451</xdr:colOff>
      <xdr:row>9</xdr:row>
      <xdr:rowOff>17992</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0" y="1303867"/>
          <a:ext cx="11906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B050"/>
              </a:solidFill>
            </a:rPr>
            <a:t>👕</a:t>
          </a:r>
          <a:r>
            <a:rPr lang="en-US">
              <a:solidFill>
                <a:schemeClr val="bg1"/>
              </a:solidFill>
            </a:rPr>
            <a:t> </a:t>
          </a:r>
          <a:r>
            <a:rPr lang="en-US" sz="1100" b="0" i="0" u="none" strike="noStrike">
              <a:ln>
                <a:noFill/>
              </a:ln>
              <a:solidFill>
                <a:schemeClr val="bg1"/>
              </a:solidFill>
              <a:effectLst/>
              <a:latin typeface="+mn-lt"/>
              <a:ea typeface="+mn-ea"/>
              <a:cs typeface="+mn-cs"/>
            </a:rPr>
            <a:t>Quantity</a:t>
          </a:r>
          <a:r>
            <a:rPr lang="en-US"/>
            <a:t> </a:t>
          </a:r>
          <a:r>
            <a:rPr lang="en-US">
              <a:solidFill>
                <a:schemeClr val="bg1"/>
              </a:solidFill>
            </a:rPr>
            <a:t> </a:t>
          </a:r>
        </a:p>
        <a:p>
          <a:endParaRPr lang="en-US" sz="1100">
            <a:solidFill>
              <a:schemeClr val="bg1"/>
            </a:solidFill>
          </a:endParaRPr>
        </a:p>
      </xdr:txBody>
    </xdr:sp>
    <xdr:clientData/>
  </xdr:twoCellAnchor>
  <xdr:twoCellAnchor>
    <xdr:from>
      <xdr:col>0</xdr:col>
      <xdr:colOff>0</xdr:colOff>
      <xdr:row>3</xdr:row>
      <xdr:rowOff>85725</xdr:rowOff>
    </xdr:from>
    <xdr:to>
      <xdr:col>1</xdr:col>
      <xdr:colOff>723900</xdr:colOff>
      <xdr:row>5</xdr:row>
      <xdr:rowOff>1</xdr:rowOff>
    </xdr:to>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0" y="628650"/>
          <a:ext cx="9810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a:t>
          </a:r>
          <a:r>
            <a:rPr lang="en-US">
              <a:solidFill>
                <a:schemeClr val="bg1"/>
              </a:solidFill>
            </a:rPr>
            <a:t> </a:t>
          </a:r>
          <a:r>
            <a:rPr lang="en-US" sz="1100" b="0" i="0" u="none" strike="noStrike">
              <a:ln>
                <a:noFill/>
              </a:ln>
              <a:solidFill>
                <a:schemeClr val="bg1"/>
              </a:solidFill>
              <a:effectLst/>
              <a:latin typeface="+mn-lt"/>
              <a:ea typeface="+mn-ea"/>
              <a:cs typeface="+mn-cs"/>
            </a:rPr>
            <a:t>Orders</a:t>
          </a:r>
          <a:r>
            <a:rPr lang="en-US">
              <a:solidFill>
                <a:schemeClr val="bg1"/>
              </a:solidFill>
            </a:rPr>
            <a:t> </a:t>
          </a:r>
        </a:p>
        <a:p>
          <a:endParaRPr lang="en-US" sz="1100">
            <a:solidFill>
              <a:schemeClr val="bg1"/>
            </a:solidFill>
          </a:endParaRPr>
        </a:p>
      </xdr:txBody>
    </xdr:sp>
    <xdr:clientData/>
  </xdr:twoCellAnchor>
  <xdr:twoCellAnchor>
    <xdr:from>
      <xdr:col>0</xdr:col>
      <xdr:colOff>9525</xdr:colOff>
      <xdr:row>11</xdr:row>
      <xdr:rowOff>0</xdr:rowOff>
    </xdr:from>
    <xdr:to>
      <xdr:col>1</xdr:col>
      <xdr:colOff>819150</xdr:colOff>
      <xdr:row>13</xdr:row>
      <xdr:rowOff>66675</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9525" y="1990725"/>
          <a:ext cx="10668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t>
          </a:r>
          <a:r>
            <a:rPr lang="en-US" sz="1600">
              <a:solidFill>
                <a:srgbClr val="FFFF00"/>
              </a:solidFill>
            </a:rPr>
            <a:t>💲</a:t>
          </a:r>
          <a:r>
            <a:rPr lang="en-US">
              <a:solidFill>
                <a:schemeClr val="bg1"/>
              </a:solidFill>
            </a:rPr>
            <a:t> </a:t>
          </a:r>
          <a:r>
            <a:rPr lang="en-US" sz="1100" b="0" i="0" u="none" strike="noStrike">
              <a:ln>
                <a:noFill/>
              </a:ln>
              <a:solidFill>
                <a:schemeClr val="bg1"/>
              </a:solidFill>
              <a:effectLst/>
              <a:latin typeface="+mn-lt"/>
              <a:ea typeface="+mn-ea"/>
              <a:cs typeface="+mn-cs"/>
            </a:rPr>
            <a:t>Amount</a:t>
          </a:r>
          <a:r>
            <a:rPr lang="en-US"/>
            <a:t> </a:t>
          </a:r>
          <a:r>
            <a:rPr lang="en-US">
              <a:solidFill>
                <a:schemeClr val="bg1"/>
              </a:solidFill>
            </a:rPr>
            <a:t> </a:t>
          </a:r>
        </a:p>
        <a:p>
          <a:endParaRPr lang="en-US" sz="1100">
            <a:solidFill>
              <a:schemeClr val="bg1"/>
            </a:solidFill>
          </a:endParaRPr>
        </a:p>
      </xdr:txBody>
    </xdr:sp>
    <xdr:clientData/>
  </xdr:twoCellAnchor>
  <xdr:twoCellAnchor>
    <xdr:from>
      <xdr:col>0</xdr:col>
      <xdr:colOff>0</xdr:colOff>
      <xdr:row>14</xdr:row>
      <xdr:rowOff>123825</xdr:rowOff>
    </xdr:from>
    <xdr:to>
      <xdr:col>1</xdr:col>
      <xdr:colOff>723900</xdr:colOff>
      <xdr:row>16</xdr:row>
      <xdr:rowOff>57150</xdr:rowOff>
    </xdr:to>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0" y="2657475"/>
          <a:ext cx="981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FF0000"/>
              </a:solidFill>
              <a:effectLst/>
              <a:latin typeface="+mn-lt"/>
              <a:ea typeface="+mn-ea"/>
              <a:cs typeface="+mn-cs"/>
            </a:rPr>
            <a:t>⭐</a:t>
          </a:r>
          <a:r>
            <a:rPr lang="en-US">
              <a:solidFill>
                <a:schemeClr val="bg1"/>
              </a:solidFill>
            </a:rPr>
            <a:t> </a:t>
          </a:r>
          <a:r>
            <a:rPr lang="en-US" sz="1100" b="0" i="0" u="none" strike="noStrike">
              <a:ln>
                <a:noFill/>
              </a:ln>
              <a:solidFill>
                <a:schemeClr val="bg1"/>
              </a:solidFill>
              <a:effectLst/>
              <a:latin typeface="+mn-lt"/>
              <a:ea typeface="+mn-ea"/>
              <a:cs typeface="+mn-cs"/>
            </a:rPr>
            <a:t>Rating</a:t>
          </a:r>
          <a:r>
            <a:rPr lang="en-US"/>
            <a:t> </a:t>
          </a:r>
          <a:r>
            <a:rPr lang="en-US">
              <a:solidFill>
                <a:schemeClr val="bg1"/>
              </a:solidFill>
            </a:rPr>
            <a:t> </a:t>
          </a:r>
        </a:p>
        <a:p>
          <a:endParaRPr lang="en-US" sz="1100">
            <a:solidFill>
              <a:schemeClr val="bg1"/>
            </a:solidFill>
          </a:endParaRPr>
        </a:p>
      </xdr:txBody>
    </xdr:sp>
    <xdr:clientData/>
  </xdr:twoCellAnchor>
  <xdr:twoCellAnchor>
    <xdr:from>
      <xdr:col>0</xdr:col>
      <xdr:colOff>0</xdr:colOff>
      <xdr:row>18</xdr:row>
      <xdr:rowOff>171451</xdr:rowOff>
    </xdr:from>
    <xdr:to>
      <xdr:col>1</xdr:col>
      <xdr:colOff>1114425</xdr:colOff>
      <xdr:row>21</xdr:row>
      <xdr:rowOff>62444</xdr:rowOff>
    </xdr:to>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0" y="3429001"/>
          <a:ext cx="1371600" cy="43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0070C0"/>
              </a:solidFill>
              <a:effectLst/>
              <a:latin typeface="+mn-lt"/>
              <a:ea typeface="+mn-ea"/>
              <a:cs typeface="+mn-cs"/>
            </a:rPr>
            <a:t>📅</a:t>
          </a:r>
          <a:r>
            <a:rPr lang="en-US" sz="1100" b="0" i="0" u="none" strike="noStrike" baseline="0">
              <a:solidFill>
                <a:schemeClr val="dk1"/>
              </a:solidFill>
              <a:effectLst/>
              <a:latin typeface="+mn-lt"/>
              <a:ea typeface="+mn-ea"/>
              <a:cs typeface="+mn-cs"/>
            </a:rPr>
            <a:t> </a:t>
          </a:r>
          <a:r>
            <a:rPr lang="en-US" sz="1100" b="0" i="0" u="none" strike="noStrike">
              <a:ln>
                <a:noFill/>
              </a:ln>
              <a:solidFill>
                <a:schemeClr val="bg1"/>
              </a:solidFill>
              <a:effectLst/>
              <a:latin typeface="+mn-lt"/>
              <a:ea typeface="+mn-ea"/>
              <a:cs typeface="+mn-cs"/>
            </a:rPr>
            <a:t>Days</a:t>
          </a:r>
          <a:r>
            <a:rPr lang="en-US" sz="1100" b="0" i="0" u="none" strike="noStrike">
              <a:solidFill>
                <a:schemeClr val="dk1"/>
              </a:solidFill>
              <a:effectLst/>
              <a:latin typeface="+mn-lt"/>
              <a:ea typeface="+mn-ea"/>
              <a:cs typeface="+mn-cs"/>
            </a:rPr>
            <a:t> </a:t>
          </a:r>
          <a:r>
            <a:rPr lang="en-US" sz="1100" b="0" i="0" u="none" strike="noStrike">
              <a:ln>
                <a:noFill/>
              </a:ln>
              <a:solidFill>
                <a:schemeClr val="bg1"/>
              </a:solidFill>
              <a:effectLst/>
              <a:latin typeface="+mn-lt"/>
              <a:ea typeface="+mn-ea"/>
              <a:cs typeface="+mn-cs"/>
            </a:rPr>
            <a:t>to</a:t>
          </a:r>
          <a:r>
            <a:rPr lang="en-US" sz="1100" b="0" i="0" u="none" strike="noStrike">
              <a:solidFill>
                <a:schemeClr val="dk1"/>
              </a:solidFill>
              <a:effectLst/>
              <a:latin typeface="+mn-lt"/>
              <a:ea typeface="+mn-ea"/>
              <a:cs typeface="+mn-cs"/>
            </a:rPr>
            <a:t> </a:t>
          </a:r>
          <a:r>
            <a:rPr lang="en-US" sz="1100" b="0" i="0" u="none" strike="noStrike">
              <a:ln>
                <a:noFill/>
              </a:ln>
              <a:solidFill>
                <a:schemeClr val="bg1"/>
              </a:solidFill>
              <a:effectLst/>
              <a:latin typeface="+mn-lt"/>
              <a:ea typeface="+mn-ea"/>
              <a:cs typeface="+mn-cs"/>
            </a:rPr>
            <a:t>deliver</a:t>
          </a:r>
          <a:r>
            <a:rPr lang="en-US"/>
            <a:t> </a:t>
          </a:r>
          <a:endParaRPr lang="en-US">
            <a:solidFill>
              <a:schemeClr val="bg1"/>
            </a:solidFill>
          </a:endParaRPr>
        </a:p>
        <a:p>
          <a:endParaRPr lang="en-US" sz="1100">
            <a:solidFill>
              <a:schemeClr val="bg1"/>
            </a:solidFill>
          </a:endParaRPr>
        </a:p>
      </xdr:txBody>
    </xdr:sp>
    <xdr:clientData/>
  </xdr:twoCellAnchor>
  <xdr:twoCellAnchor>
    <xdr:from>
      <xdr:col>3</xdr:col>
      <xdr:colOff>171450</xdr:colOff>
      <xdr:row>0</xdr:row>
      <xdr:rowOff>95250</xdr:rowOff>
    </xdr:from>
    <xdr:to>
      <xdr:col>10</xdr:col>
      <xdr:colOff>238125</xdr:colOff>
      <xdr:row>16</xdr:row>
      <xdr:rowOff>114300</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381001</xdr:colOff>
      <xdr:row>0</xdr:row>
      <xdr:rowOff>104775</xdr:rowOff>
    </xdr:from>
    <xdr:to>
      <xdr:col>16</xdr:col>
      <xdr:colOff>590551</xdr:colOff>
      <xdr:row>16</xdr:row>
      <xdr:rowOff>85725</xdr:rowOff>
    </xdr:to>
    <xdr:sp macro="" textlink="">
      <xdr:nvSpPr>
        <xdr:cNvPr id="4" name="Rectangle 3">
          <a:extLst>
            <a:ext uri="{FF2B5EF4-FFF2-40B4-BE49-F238E27FC236}">
              <a16:creationId xmlns:a16="http://schemas.microsoft.com/office/drawing/2014/main" id="{80881830-A751-4F43-AA80-568B91689608}"/>
            </a:ext>
          </a:extLst>
        </xdr:cNvPr>
        <xdr:cNvSpPr/>
      </xdr:nvSpPr>
      <xdr:spPr>
        <a:xfrm>
          <a:off x="6962776" y="104775"/>
          <a:ext cx="4324350" cy="28765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hhhhh         h</a:t>
          </a:r>
          <a:endParaRPr lang="en-PK" sz="1100"/>
        </a:p>
      </xdr:txBody>
    </xdr:sp>
    <xdr:clientData/>
  </xdr:twoCellAnchor>
  <mc:AlternateContent xmlns:mc="http://schemas.openxmlformats.org/markup-compatibility/2006">
    <mc:Choice xmlns:a14="http://schemas.microsoft.com/office/drawing/2010/main" Requires="a14">
      <xdr:twoCellAnchor editAs="oneCell">
        <xdr:from>
          <xdr:col>11</xdr:col>
          <xdr:colOff>180975</xdr:colOff>
          <xdr:row>6</xdr:row>
          <xdr:rowOff>38100</xdr:rowOff>
        </xdr:from>
        <xdr:to>
          <xdr:col>16</xdr:col>
          <xdr:colOff>477574</xdr:colOff>
          <xdr:row>15</xdr:row>
          <xdr:rowOff>57150</xdr:rowOff>
        </xdr:to>
        <xdr:pic>
          <xdr:nvPicPr>
            <xdr:cNvPr id="22" name="Picture 21">
              <a:extLst>
                <a:ext uri="{FF2B5EF4-FFF2-40B4-BE49-F238E27FC236}">
                  <a16:creationId xmlns:a16="http://schemas.microsoft.com/office/drawing/2014/main" id="{960B45E7-3078-4A5B-A649-4FF42B635D8A}"/>
                </a:ext>
              </a:extLst>
            </xdr:cNvPr>
            <xdr:cNvPicPr>
              <a:picLocks noChangeAspect="1" noChangeArrowheads="1"/>
              <a:extLst>
                <a:ext uri="{84589F7E-364E-4C9E-8A38-B11213B215E9}">
                  <a14:cameraTool cellRange="Sheet2!$H$4:$L$9" spid="_x0000_s1077"/>
                </a:ext>
              </a:extLst>
            </xdr:cNvPicPr>
          </xdr:nvPicPr>
          <xdr:blipFill>
            <a:blip xmlns:r="http://schemas.openxmlformats.org/officeDocument/2006/relationships" r:embed="rId2"/>
            <a:srcRect/>
            <a:stretch>
              <a:fillRect/>
            </a:stretch>
          </xdr:blipFill>
          <xdr:spPr bwMode="auto">
            <a:xfrm>
              <a:off x="7448550" y="1123950"/>
              <a:ext cx="3725599" cy="16478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104775</xdr:colOff>
      <xdr:row>0</xdr:row>
      <xdr:rowOff>76200</xdr:rowOff>
    </xdr:from>
    <xdr:to>
      <xdr:col>25</xdr:col>
      <xdr:colOff>219075</xdr:colOff>
      <xdr:row>14</xdr:row>
      <xdr:rowOff>161926</xdr:rowOff>
    </xdr:to>
    <xdr:graphicFrame macro="">
      <xdr:nvGraphicFramePr>
        <xdr:cNvPr id="24" name="Chart 23">
          <a:extLst>
            <a:ext uri="{FF2B5EF4-FFF2-40B4-BE49-F238E27FC236}">
              <a16:creationId xmlns:a16="http://schemas.microsoft.com/office/drawing/2014/main" id="{BE11E1D8-EB01-46E7-B5D3-45AC499AD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85725</xdr:colOff>
      <xdr:row>17</xdr:row>
      <xdr:rowOff>9524</xdr:rowOff>
    </xdr:from>
    <xdr:to>
      <xdr:col>10</xdr:col>
      <xdr:colOff>304800</xdr:colOff>
      <xdr:row>42</xdr:row>
      <xdr:rowOff>66674</xdr:rowOff>
    </xdr:to>
    <xdr:graphicFrame macro="">
      <xdr:nvGraphicFramePr>
        <xdr:cNvPr id="20" name="Chart 19">
          <a:extLst>
            <a:ext uri="{FF2B5EF4-FFF2-40B4-BE49-F238E27FC236}">
              <a16:creationId xmlns:a16="http://schemas.microsoft.com/office/drawing/2014/main" id="{44A0169C-908F-4113-A5F7-0EAAE3797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228600</xdr:colOff>
      <xdr:row>30</xdr:row>
      <xdr:rowOff>19050</xdr:rowOff>
    </xdr:from>
    <xdr:to>
      <xdr:col>8</xdr:col>
      <xdr:colOff>314325</xdr:colOff>
      <xdr:row>38</xdr:row>
      <xdr:rowOff>171449</xdr:rowOff>
    </xdr:to>
    <xdr:graphicFrame macro="">
      <xdr:nvGraphicFramePr>
        <xdr:cNvPr id="21" name="Chart 20">
          <a:extLst>
            <a:ext uri="{FF2B5EF4-FFF2-40B4-BE49-F238E27FC236}">
              <a16:creationId xmlns:a16="http://schemas.microsoft.com/office/drawing/2014/main" id="{C552E593-F502-41D8-8303-EAD29992F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419099</xdr:colOff>
      <xdr:row>17</xdr:row>
      <xdr:rowOff>9525</xdr:rowOff>
    </xdr:from>
    <xdr:to>
      <xdr:col>17</xdr:col>
      <xdr:colOff>161924</xdr:colOff>
      <xdr:row>42</xdr:row>
      <xdr:rowOff>57150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C1AC9401-358B-472E-BF24-0C1D672D94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00874" y="3086100"/>
              <a:ext cx="4543425" cy="45720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228600</xdr:colOff>
      <xdr:row>27</xdr:row>
      <xdr:rowOff>123824</xdr:rowOff>
    </xdr:from>
    <xdr:to>
      <xdr:col>16</xdr:col>
      <xdr:colOff>457200</xdr:colOff>
      <xdr:row>34</xdr:row>
      <xdr:rowOff>57150</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146B3A49-532F-4CBE-B4BD-B8818E457E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239375" y="5010149"/>
              <a:ext cx="914400" cy="1200151"/>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266700</xdr:colOff>
      <xdr:row>15</xdr:row>
      <xdr:rowOff>114301</xdr:rowOff>
    </xdr:from>
    <xdr:to>
      <xdr:col>24</xdr:col>
      <xdr:colOff>676275</xdr:colOff>
      <xdr:row>28</xdr:row>
      <xdr:rowOff>0</xdr:rowOff>
    </xdr:to>
    <xdr:graphicFrame macro="">
      <xdr:nvGraphicFramePr>
        <xdr:cNvPr id="26" name="Chart 25">
          <a:extLst>
            <a:ext uri="{FF2B5EF4-FFF2-40B4-BE49-F238E27FC236}">
              <a16:creationId xmlns:a16="http://schemas.microsoft.com/office/drawing/2014/main" id="{4ED6AFFC-2BF6-4B8B-B6B9-49A6F9211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247651</xdr:colOff>
      <xdr:row>28</xdr:row>
      <xdr:rowOff>85724</xdr:rowOff>
    </xdr:from>
    <xdr:to>
      <xdr:col>25</xdr:col>
      <xdr:colOff>28575</xdr:colOff>
      <xdr:row>42</xdr:row>
      <xdr:rowOff>76199</xdr:rowOff>
    </xdr:to>
    <xdr:graphicFrame macro="">
      <xdr:nvGraphicFramePr>
        <xdr:cNvPr id="27" name="Chart 26">
          <a:extLst>
            <a:ext uri="{FF2B5EF4-FFF2-40B4-BE49-F238E27FC236}">
              <a16:creationId xmlns:a16="http://schemas.microsoft.com/office/drawing/2014/main" id="{9A0B6C45-D435-425B-A838-F033984D0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142875</xdr:colOff>
      <xdr:row>34</xdr:row>
      <xdr:rowOff>38100</xdr:rowOff>
    </xdr:from>
    <xdr:to>
      <xdr:col>2</xdr:col>
      <xdr:colOff>19050</xdr:colOff>
      <xdr:row>42</xdr:row>
      <xdr:rowOff>95250</xdr:rowOff>
    </xdr:to>
    <mc:AlternateContent xmlns:mc="http://schemas.openxmlformats.org/markup-compatibility/2006" xmlns:a14="http://schemas.microsoft.com/office/drawing/2010/main">
      <mc:Choice Requires="a14">
        <xdr:graphicFrame macro="">
          <xdr:nvGraphicFramePr>
            <xdr:cNvPr id="29" name="Gender Value">
              <a:extLst>
                <a:ext uri="{FF2B5EF4-FFF2-40B4-BE49-F238E27FC236}">
                  <a16:creationId xmlns:a16="http://schemas.microsoft.com/office/drawing/2014/main" id="{FE681D94-A6D3-418D-82E6-11968F752DA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42875" y="6191250"/>
              <a:ext cx="1828800" cy="15049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23</xdr:row>
      <xdr:rowOff>133350</xdr:rowOff>
    </xdr:from>
    <xdr:to>
      <xdr:col>2</xdr:col>
      <xdr:colOff>9525</xdr:colOff>
      <xdr:row>33</xdr:row>
      <xdr:rowOff>123825</xdr:rowOff>
    </xdr:to>
    <mc:AlternateContent xmlns:mc="http://schemas.openxmlformats.org/markup-compatibility/2006" xmlns:a14="http://schemas.microsoft.com/office/drawing/2010/main">
      <mc:Choice Requires="a14">
        <xdr:graphicFrame macro="">
          <xdr:nvGraphicFramePr>
            <xdr:cNvPr id="30" name="Order Mode">
              <a:extLst>
                <a:ext uri="{FF2B5EF4-FFF2-40B4-BE49-F238E27FC236}">
                  <a16:creationId xmlns:a16="http://schemas.microsoft.com/office/drawing/2014/main" id="{3F10B467-9512-4D78-B721-4F1396CDB2A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33350" y="4295775"/>
              <a:ext cx="1828800" cy="18002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171449</xdr:colOff>
      <xdr:row>1</xdr:row>
      <xdr:rowOff>85726</xdr:rowOff>
    </xdr:from>
    <xdr:to>
      <xdr:col>15</xdr:col>
      <xdr:colOff>628650</xdr:colOff>
      <xdr:row>4</xdr:row>
      <xdr:rowOff>114300</xdr:rowOff>
    </xdr:to>
    <xdr:sp macro="" textlink="">
      <xdr:nvSpPr>
        <xdr:cNvPr id="6" name="TextBox 5">
          <a:extLst>
            <a:ext uri="{FF2B5EF4-FFF2-40B4-BE49-F238E27FC236}">
              <a16:creationId xmlns:a16="http://schemas.microsoft.com/office/drawing/2014/main" id="{571544D7-5E30-4DA5-A1B3-D7733E5A148D}"/>
            </a:ext>
          </a:extLst>
        </xdr:cNvPr>
        <xdr:cNvSpPr txBox="1"/>
      </xdr:nvSpPr>
      <xdr:spPr>
        <a:xfrm>
          <a:off x="8124824" y="266701"/>
          <a:ext cx="2514601" cy="571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How</a:t>
          </a:r>
          <a:r>
            <a:rPr lang="en-US" sz="2000" b="1" baseline="0"/>
            <a:t> They Like to Buy</a:t>
          </a:r>
          <a:endParaRPr lang="en-PK"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1.971311111112" createdVersion="6" refreshedVersion="6" minRefreshableVersion="3" recordCount="2400" xr:uid="{00000000-000A-0000-FFFF-FFFF00000000}">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757377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vtTrends"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rowHeaderCaption="Weeks">
  <location ref="A13:C27"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3B40B-9ECA-4C03-B8AC-124291CB4089}" name="pvtproduc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91" rowHeaderCaption="Weeks">
  <location ref="A205:B221" firstHeaderRow="1" firstDataRow="1" firstDataCol="1"/>
  <pivotFields count="17">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9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DDF53-75D1-4171-BF24-951200C9B7D9}" name="pvtmap" cacheId="0" applyNumberFormats="0" applyBorderFormats="0" applyFontFormats="0" applyPatternFormats="0" applyAlignmentFormats="0" applyWidthHeightFormats="1" dataCaption="Values" updatedVersion="7" minRefreshableVersion="3" useAutoFormatting="1" rowGrandTotals="0" colGrandTotals="0" itemPrintTitles="1" createdVersion="6" indent="0" compact="0" compactData="0" multipleFieldFilters="0" chartFormat="34" rowHeaderCaption="Country">
  <location ref="A103:D161"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name="County"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n="San Francisco County"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0DDAD-9149-4D5B-AA8A-1B361E633E6D}" name="pvtavg_gender"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9" rowHeaderCaption="Weeks">
  <location ref="H74:I79"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3">
    <chartFormat chart="15" format="1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13" series="1">
      <pivotArea type="data" outline="0" fieldPosition="0">
        <references count="2">
          <reference field="4294967294" count="1" selected="0">
            <x v="0"/>
          </reference>
          <reference field="14" count="1" selected="0">
            <x v="1"/>
          </reference>
        </references>
      </pivotArea>
    </chartFormat>
    <chartFormat chart="15" format="14" series="1">
      <pivotArea type="data" outline="0" fieldPosition="0">
        <references count="2">
          <reference field="4294967294" count="1" selected="0">
            <x v="0"/>
          </reference>
          <reference field="14" count="1" selected="0">
            <x v="2"/>
          </reference>
        </references>
      </pivotArea>
    </chartFormat>
    <chartFormat chart="15" format="15" series="1">
      <pivotArea type="data" outline="0" fieldPosition="0">
        <references count="2">
          <reference field="4294967294" count="1" selected="0">
            <x v="0"/>
          </reference>
          <reference field="14" count="1" selected="0">
            <x v="3"/>
          </reference>
        </references>
      </pivotArea>
    </chartFormat>
    <chartFormat chart="15" format="16" series="1">
      <pivotArea type="data" outline="0" fieldPosition="0">
        <references count="2">
          <reference field="4294967294" count="1" selected="0">
            <x v="0"/>
          </reference>
          <reference field="14" count="1" selected="0">
            <x v="0"/>
          </reference>
        </references>
      </pivotArea>
    </chartFormat>
    <chartFormat chart="12" format="5" series="1">
      <pivotArea type="data" outline="0" fieldPosition="0">
        <references count="2">
          <reference field="4294967294" count="1" selected="0">
            <x v="0"/>
          </reference>
          <reference field="14" count="1" selected="0">
            <x v="1"/>
          </reference>
        </references>
      </pivotArea>
    </chartFormat>
    <chartFormat chart="12" format="6" series="1">
      <pivotArea type="data" outline="0" fieldPosition="0">
        <references count="2">
          <reference field="4294967294" count="1" selected="0">
            <x v="0"/>
          </reference>
          <reference field="14" count="1" selected="0">
            <x v="2"/>
          </reference>
        </references>
      </pivotArea>
    </chartFormat>
    <chartFormat chart="12" format="7" series="1">
      <pivotArea type="data" outline="0" fieldPosition="0">
        <references count="2">
          <reference field="4294967294" count="1" selected="0">
            <x v="0"/>
          </reference>
          <reference field="14" count="1" selected="0">
            <x v="3"/>
          </reference>
        </references>
      </pivotArea>
    </chartFormat>
    <chartFormat chart="12" format="8" series="1">
      <pivotArea type="data" outline="0" fieldPosition="0">
        <references count="2">
          <reference field="4294967294" count="1" selected="0">
            <x v="0"/>
          </reference>
          <reference field="14" count="1" selected="0">
            <x v="0"/>
          </reference>
        </references>
      </pivotArea>
    </chartFormat>
    <chartFormat chart="30" format="0" series="1">
      <pivotArea type="data" outline="0" fieldPosition="0">
        <references count="2">
          <reference field="4294967294" count="1" selected="0">
            <x v="0"/>
          </reference>
          <reference field="14" count="1" selected="0">
            <x v="0"/>
          </reference>
        </references>
      </pivotArea>
    </chartFormat>
    <chartFormat chart="30" format="1" series="1">
      <pivotArea type="data" outline="0" fieldPosition="0">
        <references count="2">
          <reference field="4294967294" count="1" selected="0">
            <x v="0"/>
          </reference>
          <reference field="14" count="1" selected="0">
            <x v="1"/>
          </reference>
        </references>
      </pivotArea>
    </chartFormat>
    <chartFormat chart="30" format="2" series="1">
      <pivotArea type="data" outline="0" fieldPosition="0">
        <references count="2">
          <reference field="4294967294" count="1" selected="0">
            <x v="0"/>
          </reference>
          <reference field="14" count="1" selected="0">
            <x v="2"/>
          </reference>
        </references>
      </pivotArea>
    </chartFormat>
    <chartFormat chart="30" format="3" series="1">
      <pivotArea type="data" outline="0" fieldPosition="0">
        <references count="2">
          <reference field="4294967294" count="1" selected="0">
            <x v="0"/>
          </reference>
          <reference field="14" count="1" selected="0">
            <x v="3"/>
          </reference>
        </references>
      </pivotArea>
    </chartFormat>
    <chartFormat chart="33" format="8" series="1">
      <pivotArea type="data" outline="0" fieldPosition="0">
        <references count="2">
          <reference field="4294967294" count="1" selected="0">
            <x v="0"/>
          </reference>
          <reference field="14" count="1" selected="0">
            <x v="0"/>
          </reference>
        </references>
      </pivotArea>
    </chartFormat>
    <chartFormat chart="33" format="9" series="1">
      <pivotArea type="data" outline="0" fieldPosition="0">
        <references count="2">
          <reference field="4294967294" count="1" selected="0">
            <x v="0"/>
          </reference>
          <reference field="14" count="1" selected="0">
            <x v="1"/>
          </reference>
        </references>
      </pivotArea>
    </chartFormat>
    <chartFormat chart="33" format="10" series="1">
      <pivotArea type="data" outline="0" fieldPosition="0">
        <references count="2">
          <reference field="4294967294" count="1" selected="0">
            <x v="0"/>
          </reference>
          <reference field="14" count="1" selected="0">
            <x v="2"/>
          </reference>
        </references>
      </pivotArea>
    </chartFormat>
    <chartFormat chart="33" format="11" series="1">
      <pivotArea type="data" outline="0" fieldPosition="0">
        <references count="2">
          <reference field="4294967294" count="1" selected="0">
            <x v="0"/>
          </reference>
          <reference field="14" count="1" selected="0">
            <x v="3"/>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14" count="1" selected="0">
            <x v="0"/>
          </reference>
        </references>
      </pivotArea>
    </chartFormat>
    <chartFormat chart="38" format="8">
      <pivotArea type="data" outline="0" fieldPosition="0">
        <references count="2">
          <reference field="4294967294" count="1" selected="0">
            <x v="0"/>
          </reference>
          <reference field="14" count="1" selected="0">
            <x v="1"/>
          </reference>
        </references>
      </pivotArea>
    </chartFormat>
    <chartFormat chart="38" format="9">
      <pivotArea type="data" outline="0" fieldPosition="0">
        <references count="2">
          <reference field="4294967294" count="1" selected="0">
            <x v="0"/>
          </reference>
          <reference field="14" count="1" selected="0">
            <x v="2"/>
          </reference>
        </references>
      </pivotArea>
    </chartFormat>
    <chartFormat chart="3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8008E6-16A4-4DA2-9CFE-0EBFCDC21424}" name="pvtQty"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3" rowHeaderCaption="Weeks">
  <location ref="A35:B43"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6">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5" count="1" selected="0">
            <x v="0"/>
          </reference>
        </references>
      </pivotArea>
    </chartFormat>
    <chartFormat chart="12" format="4">
      <pivotArea type="data" outline="0" fieldPosition="0">
        <references count="2">
          <reference field="4294967294" count="1" selected="0">
            <x v="0"/>
          </reference>
          <reference field="15" count="1" selected="0">
            <x v="2"/>
          </reference>
        </references>
      </pivotArea>
    </chartFormat>
    <chartFormat chart="12" format="5">
      <pivotArea type="data" outline="0" fieldPosition="0">
        <references count="2">
          <reference field="4294967294" count="1" selected="0">
            <x v="0"/>
          </reference>
          <reference field="15" count="1" selected="0">
            <x v="3"/>
          </reference>
        </references>
      </pivotArea>
    </chartFormat>
    <chartFormat chart="12" format="6">
      <pivotArea type="data" outline="0" fieldPosition="0">
        <references count="2">
          <reference field="4294967294" count="1" selected="0">
            <x v="0"/>
          </reference>
          <reference field="15" count="1" selected="0">
            <x v="4"/>
          </reference>
        </references>
      </pivotArea>
    </chartFormat>
    <chartFormat chart="12" format="7">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99F4D9-0082-46A8-8137-221E54B73FBA}" name="pvttopsaling_produc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4" rowHeaderCaption="Weeks">
  <location ref="A73:F9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33" format="8" series="1">
      <pivotArea type="data" outline="0" fieldPosition="0">
        <references count="2">
          <reference field="4294967294" count="1" selected="0">
            <x v="0"/>
          </reference>
          <reference field="14" count="1" selected="0">
            <x v="0"/>
          </reference>
        </references>
      </pivotArea>
    </chartFormat>
    <chartFormat chart="33" format="9" series="1">
      <pivotArea type="data" outline="0" fieldPosition="0">
        <references count="2">
          <reference field="4294967294" count="1" selected="0">
            <x v="0"/>
          </reference>
          <reference field="14" count="1" selected="0">
            <x v="1"/>
          </reference>
        </references>
      </pivotArea>
    </chartFormat>
    <chartFormat chart="33" format="10" series="1">
      <pivotArea type="data" outline="0" fieldPosition="0">
        <references count="2">
          <reference field="4294967294" count="1" selected="0">
            <x v="0"/>
          </reference>
          <reference field="14" count="1" selected="0">
            <x v="2"/>
          </reference>
        </references>
      </pivotArea>
    </chartFormat>
    <chartFormat chart="3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623264-48E7-489D-86C8-67ECC37782A1}" name="pvtrating"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98" rowHeaderCaption="Weeks">
  <location ref="A189:G194" firstHeaderRow="1" firstDataRow="2" firstDataCol="1"/>
  <pivotFields count="17">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97" format="13" series="1">
      <pivotArea type="data" outline="0" fieldPosition="0">
        <references count="2">
          <reference field="4294967294" count="1" selected="0">
            <x v="0"/>
          </reference>
          <reference field="9" count="1" selected="0">
            <x v="0"/>
          </reference>
        </references>
      </pivotArea>
    </chartFormat>
    <chartFormat chart="97" format="14" series="1">
      <pivotArea type="data" outline="0" fieldPosition="0">
        <references count="2">
          <reference field="4294967294" count="1" selected="0">
            <x v="0"/>
          </reference>
          <reference field="9" count="1" selected="0">
            <x v="1"/>
          </reference>
        </references>
      </pivotArea>
    </chartFormat>
    <chartFormat chart="97" format="15" series="1">
      <pivotArea type="data" outline="0" fieldPosition="0">
        <references count="2">
          <reference field="4294967294" count="1" selected="0">
            <x v="0"/>
          </reference>
          <reference field="9" count="1" selected="0">
            <x v="2"/>
          </reference>
        </references>
      </pivotArea>
    </chartFormat>
    <chartFormat chart="97" format="16" series="1">
      <pivotArea type="data" outline="0" fieldPosition="0">
        <references count="2">
          <reference field="4294967294" count="1" selected="0">
            <x v="0"/>
          </reference>
          <reference field="9" count="1" selected="0">
            <x v="3"/>
          </reference>
        </references>
      </pivotArea>
    </chartFormat>
    <chartFormat chart="97"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vtsummary"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11BE36-0766-4E34-A736-CC8E37591E18}" name="pvtmatrix"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6AE1993-73C6-493C-A427-5BB651BA8117}" sourceName="Gender Value">
  <pivotTables>
    <pivotTable tabId="5" name="pvtrating"/>
    <pivotTable tabId="5" name="pvtmap"/>
    <pivotTable tabId="5" name="pvtTrends"/>
    <pivotTable tabId="5" name="pvtQty"/>
    <pivotTable tabId="5" name="pvtproduct"/>
  </pivotTables>
  <data>
    <tabular pivotCacheId="75737777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D0F06AB-288E-41F6-85C3-2AB5C077E5AC}" sourceName="Order Mode">
  <pivotTables>
    <pivotTable tabId="5" name="pvtrating"/>
    <pivotTable tabId="5" name="pvtavg_gender"/>
    <pivotTable tabId="5" name="pvtmap"/>
    <pivotTable tabId="5" name="pvtproduct"/>
    <pivotTable tabId="5" name="pvtQty"/>
    <pivotTable tabId="5" name="pvtsummary"/>
    <pivotTable tabId="5" name="pvttopsaling_product"/>
    <pivotTable tabId="5" name="pvtTrends"/>
  </pivotTables>
  <data>
    <tabular pivotCacheId="757377776">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01C0F6D3-EEF4-469D-BC0C-ACC9D5940161}" cache="Slicer_Gender_Value" caption="Gender Value" rowHeight="241300"/>
  <slicer name="Order Mode" xr10:uid="{B44E194E-BCB3-4ADF-A7D5-6E43AA19505B}" cache="Slicer_Order_Mode" caption="Order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O2401" totalsRowShown="0">
  <tableColumns count="15">
    <tableColumn id="1" xr3:uid="{00000000-0010-0000-0000-000001000000}" name="TX ID"/>
    <tableColumn id="2" xr3:uid="{00000000-0010-0000-0000-000002000000}" name="Product"/>
    <tableColumn id="3" xr3:uid="{00000000-0010-0000-0000-000003000000}" name="Quantity"/>
    <tableColumn id="4" xr3:uid="{00000000-0010-0000-0000-000004000000}" name="Unit Price"/>
    <tableColumn id="5" xr3:uid="{00000000-0010-0000-0000-000005000000}" name="Amount"/>
    <tableColumn id="6" xr3:uid="{00000000-0010-0000-0000-000006000000}" name="Order Date" dataDxfId="4"/>
    <tableColumn id="7" xr3:uid="{00000000-0010-0000-0000-000007000000}" name="Ship Date" dataDxfId="3"/>
    <tableColumn id="8" xr3:uid="{00000000-0010-0000-0000-000008000000}" name="Customer Gender"/>
    <tableColumn id="9" xr3:uid="{00000000-0010-0000-0000-000009000000}" name="Order Mode"/>
    <tableColumn id="10" xr3:uid="{00000000-0010-0000-0000-00000A000000}" name="Rating C"/>
    <tableColumn id="15" xr3:uid="{00000000-0010-0000-0000-00000F000000}" name="State"/>
    <tableColumn id="14" xr3:uid="{00000000-0010-0000-0000-00000E000000}" name="County"/>
    <tableColumn id="11" xr3:uid="{00000000-0010-0000-0000-00000B000000}" name="Days to Deliver" dataDxfId="2">
      <calculatedColumnFormula>orders[[#This Row],[Ship Date]]-orders[[#This Row],[Order Date]]</calculatedColumnFormula>
    </tableColumn>
    <tableColumn id="12" xr3:uid="{00000000-0010-0000-0000-00000C000000}" name="Weeknum" dataDxfId="1">
      <calculatedColumnFormula>WEEKNUM(orders[[#This Row],[Order Date]])</calculatedColumnFormula>
    </tableColumn>
    <tableColumn id="13" xr3:uid="{00000000-0010-0000-0000-00000D000000}"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221"/>
  <sheetViews>
    <sheetView workbookViewId="0">
      <selection activeCell="F130" sqref="F130"/>
    </sheetView>
  </sheetViews>
  <sheetFormatPr defaultRowHeight="14.25"/>
  <cols>
    <col min="1" max="1" width="11.375" bestFit="1" customWidth="1"/>
    <col min="2" max="2" width="15" bestFit="1" customWidth="1"/>
    <col min="3" max="3" width="14.25" bestFit="1" customWidth="1"/>
    <col min="4" max="4" width="6" bestFit="1" customWidth="1"/>
    <col min="5" max="5" width="9.125" bestFit="1" customWidth="1"/>
    <col min="6" max="8" width="11.375" bestFit="1" customWidth="1"/>
    <col min="9" max="9" width="15" bestFit="1" customWidth="1"/>
    <col min="10" max="10" width="19" bestFit="1" customWidth="1"/>
    <col min="11" max="11" width="20.875" bestFit="1" customWidth="1"/>
    <col min="12" max="32" width="6.625" bestFit="1" customWidth="1"/>
    <col min="33" max="33" width="9" bestFit="1" customWidth="1"/>
    <col min="34" max="61" width="6.875" bestFit="1" customWidth="1"/>
    <col min="62" max="62" width="9.25" bestFit="1" customWidth="1"/>
    <col min="63" max="91" width="6.875" bestFit="1" customWidth="1"/>
    <col min="92" max="92" width="9.25" bestFit="1" customWidth="1"/>
    <col min="93" max="93" width="11.375" bestFit="1" customWidth="1"/>
  </cols>
  <sheetData>
    <row r="3" spans="1:11">
      <c r="A3" t="s">
        <v>2518</v>
      </c>
      <c r="B3" t="s">
        <v>2520</v>
      </c>
      <c r="C3" t="s">
        <v>2519</v>
      </c>
      <c r="D3" t="s">
        <v>2521</v>
      </c>
      <c r="E3" t="s">
        <v>2522</v>
      </c>
      <c r="G3" t="s">
        <v>2523</v>
      </c>
    </row>
    <row r="4" spans="1:11">
      <c r="A4" s="5">
        <v>2400</v>
      </c>
      <c r="B4" s="5">
        <v>11997</v>
      </c>
      <c r="C4" s="5">
        <v>649019.80000000144</v>
      </c>
      <c r="D4" s="5">
        <v>3.9620833333333332</v>
      </c>
      <c r="E4" s="5">
        <v>2.3424999999999998</v>
      </c>
      <c r="G4" t="s">
        <v>2524</v>
      </c>
      <c r="H4" t="s">
        <v>2525</v>
      </c>
      <c r="I4" t="s">
        <v>4</v>
      </c>
      <c r="J4" t="s">
        <v>2526</v>
      </c>
      <c r="K4" t="s">
        <v>2527</v>
      </c>
    </row>
    <row r="5" spans="1:11">
      <c r="G5" t="str">
        <f>TEXT(A4,"#,##")</f>
        <v>2,400</v>
      </c>
      <c r="H5" t="str">
        <f t="shared" ref="H5" si="0">TEXT(B4,"#,##")</f>
        <v>11,997</v>
      </c>
      <c r="I5" t="str">
        <f>TEXT(C4,"#,##,.0k")</f>
        <v>649.0k</v>
      </c>
      <c r="J5" t="str">
        <f>TEXT(D4,"0.0")</f>
        <v>4.0</v>
      </c>
      <c r="K5" t="str">
        <f>TEXT(E4,"0.0")</f>
        <v>2.3</v>
      </c>
    </row>
    <row r="11" spans="1:11">
      <c r="A11" t="s">
        <v>2528</v>
      </c>
    </row>
    <row r="13" spans="1:11">
      <c r="A13" s="6" t="s">
        <v>2530</v>
      </c>
      <c r="B13" t="s">
        <v>2520</v>
      </c>
      <c r="C13" t="s">
        <v>2519</v>
      </c>
    </row>
    <row r="14" spans="1:11">
      <c r="A14" s="7">
        <v>1</v>
      </c>
      <c r="B14" s="5">
        <v>546</v>
      </c>
      <c r="C14" s="8">
        <v>32413.300000000003</v>
      </c>
    </row>
    <row r="15" spans="1:11">
      <c r="A15" s="7">
        <v>2</v>
      </c>
      <c r="B15" s="5">
        <v>905</v>
      </c>
      <c r="C15" s="8">
        <v>49562.999999999993</v>
      </c>
    </row>
    <row r="16" spans="1:11">
      <c r="A16" s="7">
        <v>3</v>
      </c>
      <c r="B16" s="5">
        <v>796</v>
      </c>
      <c r="C16" s="8">
        <v>41700.400000000016</v>
      </c>
    </row>
    <row r="17" spans="1:3">
      <c r="A17" s="7">
        <v>4</v>
      </c>
      <c r="B17" s="5">
        <v>913</v>
      </c>
      <c r="C17" s="8">
        <v>46782.599999999984</v>
      </c>
    </row>
    <row r="18" spans="1:3">
      <c r="A18" s="7">
        <v>5</v>
      </c>
      <c r="B18" s="5">
        <v>844</v>
      </c>
      <c r="C18" s="8">
        <v>42676.100000000006</v>
      </c>
    </row>
    <row r="19" spans="1:3">
      <c r="A19" s="7">
        <v>6</v>
      </c>
      <c r="B19" s="5">
        <v>1202</v>
      </c>
      <c r="C19" s="8">
        <v>62910.7</v>
      </c>
    </row>
    <row r="20" spans="1:3">
      <c r="A20" s="7">
        <v>7</v>
      </c>
      <c r="B20" s="5">
        <v>935</v>
      </c>
      <c r="C20" s="8">
        <v>50332.200000000004</v>
      </c>
    </row>
    <row r="21" spans="1:3">
      <c r="A21" s="7">
        <v>8</v>
      </c>
      <c r="B21" s="5">
        <v>1128</v>
      </c>
      <c r="C21" s="8">
        <v>58760.599999999977</v>
      </c>
    </row>
    <row r="22" spans="1:3">
      <c r="A22" s="7">
        <v>9</v>
      </c>
      <c r="B22" s="5">
        <v>1007</v>
      </c>
      <c r="C22" s="8">
        <v>52017.299999999996</v>
      </c>
    </row>
    <row r="23" spans="1:3">
      <c r="A23" s="7">
        <v>10</v>
      </c>
      <c r="B23" s="5">
        <v>1128</v>
      </c>
      <c r="C23" s="8">
        <v>64915.700000000033</v>
      </c>
    </row>
    <row r="24" spans="1:3">
      <c r="A24" s="7">
        <v>11</v>
      </c>
      <c r="B24" s="5">
        <v>861</v>
      </c>
      <c r="C24" s="8">
        <v>45943.80000000001</v>
      </c>
    </row>
    <row r="25" spans="1:3">
      <c r="A25" s="7">
        <v>12</v>
      </c>
      <c r="B25" s="5">
        <v>944</v>
      </c>
      <c r="C25" s="8">
        <v>55077.900000000031</v>
      </c>
    </row>
    <row r="26" spans="1:3">
      <c r="A26" s="7">
        <v>13</v>
      </c>
      <c r="B26" s="5">
        <v>788</v>
      </c>
      <c r="C26" s="8">
        <v>45926.19999999999</v>
      </c>
    </row>
    <row r="27" spans="1:3">
      <c r="A27" s="7" t="s">
        <v>2529</v>
      </c>
      <c r="B27" s="5">
        <v>11997</v>
      </c>
      <c r="C27" s="8">
        <v>649019.79999999993</v>
      </c>
    </row>
    <row r="32" spans="1:3">
      <c r="A32" t="s">
        <v>2538</v>
      </c>
    </row>
    <row r="35" spans="1:2">
      <c r="A35" s="6" t="s">
        <v>2530</v>
      </c>
      <c r="B35" t="s">
        <v>2518</v>
      </c>
    </row>
    <row r="36" spans="1:2">
      <c r="A36" s="7">
        <v>1</v>
      </c>
      <c r="B36" s="5">
        <v>397</v>
      </c>
    </row>
    <row r="37" spans="1:2">
      <c r="A37" s="7">
        <v>2</v>
      </c>
      <c r="B37" s="5">
        <v>540</v>
      </c>
    </row>
    <row r="38" spans="1:2">
      <c r="A38" s="7">
        <v>3</v>
      </c>
      <c r="B38" s="5">
        <v>375</v>
      </c>
    </row>
    <row r="39" spans="1:2">
      <c r="A39" s="7">
        <v>4</v>
      </c>
      <c r="B39" s="5">
        <v>246</v>
      </c>
    </row>
    <row r="40" spans="1:2">
      <c r="A40" s="7">
        <v>5</v>
      </c>
      <c r="B40" s="5">
        <v>195</v>
      </c>
    </row>
    <row r="41" spans="1:2">
      <c r="A41" s="7" t="s">
        <v>2539</v>
      </c>
      <c r="B41" s="5">
        <v>414</v>
      </c>
    </row>
    <row r="42" spans="1:2">
      <c r="A42" s="7" t="s">
        <v>2540</v>
      </c>
      <c r="B42" s="5">
        <v>233</v>
      </c>
    </row>
    <row r="43" spans="1:2">
      <c r="A43" s="7" t="s">
        <v>2529</v>
      </c>
      <c r="B43" s="5">
        <v>2400</v>
      </c>
    </row>
    <row r="73" spans="1:9">
      <c r="A73" s="6" t="s">
        <v>2520</v>
      </c>
      <c r="B73" s="6" t="s">
        <v>2532</v>
      </c>
    </row>
    <row r="74" spans="1:9">
      <c r="A74" s="6" t="s">
        <v>2530</v>
      </c>
      <c r="B74" t="s">
        <v>2533</v>
      </c>
      <c r="C74" t="s">
        <v>2534</v>
      </c>
      <c r="D74" t="s">
        <v>2535</v>
      </c>
      <c r="E74" t="s">
        <v>2536</v>
      </c>
      <c r="F74" t="s">
        <v>2529</v>
      </c>
      <c r="H74" s="6" t="s">
        <v>2530</v>
      </c>
      <c r="I74" t="s">
        <v>2520</v>
      </c>
    </row>
    <row r="75" spans="1:9">
      <c r="A75" s="7" t="s">
        <v>44</v>
      </c>
      <c r="B75" s="5">
        <v>744</v>
      </c>
      <c r="C75" s="5">
        <v>713</v>
      </c>
      <c r="D75" s="5">
        <v>90</v>
      </c>
      <c r="E75" s="5">
        <v>98</v>
      </c>
      <c r="F75" s="5">
        <v>1645</v>
      </c>
      <c r="H75" s="7" t="s">
        <v>2533</v>
      </c>
      <c r="I75" s="5">
        <v>6272</v>
      </c>
    </row>
    <row r="76" spans="1:9">
      <c r="A76" s="7" t="s">
        <v>39</v>
      </c>
      <c r="B76" s="5">
        <v>716</v>
      </c>
      <c r="C76" s="5">
        <v>598</v>
      </c>
      <c r="D76" s="5">
        <v>18</v>
      </c>
      <c r="E76" s="5">
        <v>214</v>
      </c>
      <c r="F76" s="5">
        <v>1546</v>
      </c>
      <c r="H76" s="7" t="s">
        <v>2534</v>
      </c>
      <c r="I76" s="5">
        <v>4672</v>
      </c>
    </row>
    <row r="77" spans="1:9">
      <c r="A77" s="7" t="s">
        <v>26</v>
      </c>
      <c r="B77" s="5">
        <v>627</v>
      </c>
      <c r="C77" s="5">
        <v>393</v>
      </c>
      <c r="D77" s="5">
        <v>29</v>
      </c>
      <c r="E77" s="5">
        <v>137</v>
      </c>
      <c r="F77" s="5">
        <v>1186</v>
      </c>
      <c r="H77" s="7" t="s">
        <v>2535</v>
      </c>
      <c r="I77" s="5">
        <v>317</v>
      </c>
    </row>
    <row r="78" spans="1:9">
      <c r="A78" s="7" t="s">
        <v>22</v>
      </c>
      <c r="B78" s="5">
        <v>568</v>
      </c>
      <c r="C78" s="5">
        <v>306</v>
      </c>
      <c r="D78" s="5">
        <v>22</v>
      </c>
      <c r="E78" s="5">
        <v>16</v>
      </c>
      <c r="F78" s="5">
        <v>912</v>
      </c>
      <c r="H78" s="7" t="s">
        <v>2536</v>
      </c>
      <c r="I78" s="5">
        <v>736</v>
      </c>
    </row>
    <row r="79" spans="1:9">
      <c r="A79" s="7" t="s">
        <v>54</v>
      </c>
      <c r="B79" s="5">
        <v>482</v>
      </c>
      <c r="C79" s="5">
        <v>295</v>
      </c>
      <c r="D79" s="5">
        <v>8</v>
      </c>
      <c r="E79" s="5">
        <v>22</v>
      </c>
      <c r="F79" s="5">
        <v>807</v>
      </c>
      <c r="H79" s="7" t="s">
        <v>2529</v>
      </c>
      <c r="I79" s="5">
        <v>11997</v>
      </c>
    </row>
    <row r="80" spans="1:9">
      <c r="A80" s="7" t="s">
        <v>16</v>
      </c>
      <c r="B80" s="5">
        <v>428</v>
      </c>
      <c r="C80" s="5">
        <v>293</v>
      </c>
      <c r="D80" s="5"/>
      <c r="E80" s="5">
        <v>24</v>
      </c>
      <c r="F80" s="5">
        <v>745</v>
      </c>
    </row>
    <row r="81" spans="1:6">
      <c r="A81" s="7" t="s">
        <v>46</v>
      </c>
      <c r="B81" s="5">
        <v>445</v>
      </c>
      <c r="C81" s="5">
        <v>202</v>
      </c>
      <c r="D81" s="5">
        <v>14</v>
      </c>
      <c r="E81" s="5">
        <v>39</v>
      </c>
      <c r="F81" s="5">
        <v>700</v>
      </c>
    </row>
    <row r="82" spans="1:6">
      <c r="A82" s="7" t="s">
        <v>32</v>
      </c>
      <c r="B82" s="5">
        <v>431</v>
      </c>
      <c r="C82" s="5">
        <v>187</v>
      </c>
      <c r="D82" s="5">
        <v>14</v>
      </c>
      <c r="E82" s="5">
        <v>15</v>
      </c>
      <c r="F82" s="5">
        <v>647</v>
      </c>
    </row>
    <row r="83" spans="1:6">
      <c r="A83" s="7" t="s">
        <v>42</v>
      </c>
      <c r="B83" s="5">
        <v>264</v>
      </c>
      <c r="C83" s="5">
        <v>318</v>
      </c>
      <c r="D83" s="5">
        <v>15</v>
      </c>
      <c r="E83" s="5">
        <v>9</v>
      </c>
      <c r="F83" s="5">
        <v>606</v>
      </c>
    </row>
    <row r="84" spans="1:6">
      <c r="A84" s="7" t="s">
        <v>37</v>
      </c>
      <c r="B84" s="5">
        <v>296</v>
      </c>
      <c r="C84" s="5">
        <v>275</v>
      </c>
      <c r="D84" s="5">
        <v>9</v>
      </c>
      <c r="E84" s="5">
        <v>23</v>
      </c>
      <c r="F84" s="5">
        <v>603</v>
      </c>
    </row>
    <row r="85" spans="1:6">
      <c r="A85" s="7" t="s">
        <v>123</v>
      </c>
      <c r="B85" s="5">
        <v>153</v>
      </c>
      <c r="C85" s="5">
        <v>246</v>
      </c>
      <c r="D85" s="5">
        <v>30</v>
      </c>
      <c r="E85" s="5">
        <v>8</v>
      </c>
      <c r="F85" s="5">
        <v>437</v>
      </c>
    </row>
    <row r="86" spans="1:6">
      <c r="A86" s="7" t="s">
        <v>146</v>
      </c>
      <c r="B86" s="5">
        <v>189</v>
      </c>
      <c r="C86" s="5">
        <v>168</v>
      </c>
      <c r="D86" s="5">
        <v>10</v>
      </c>
      <c r="E86" s="5">
        <v>31</v>
      </c>
      <c r="F86" s="5">
        <v>398</v>
      </c>
    </row>
    <row r="87" spans="1:6">
      <c r="A87" s="7" t="s">
        <v>69</v>
      </c>
      <c r="B87" s="5">
        <v>234</v>
      </c>
      <c r="C87" s="5">
        <v>93</v>
      </c>
      <c r="D87" s="5">
        <v>19</v>
      </c>
      <c r="E87" s="5">
        <v>24</v>
      </c>
      <c r="F87" s="5">
        <v>370</v>
      </c>
    </row>
    <row r="88" spans="1:6">
      <c r="A88" s="7" t="s">
        <v>30</v>
      </c>
      <c r="B88" s="5">
        <v>146</v>
      </c>
      <c r="C88" s="5">
        <v>94</v>
      </c>
      <c r="D88" s="5">
        <v>4</v>
      </c>
      <c r="E88" s="5">
        <v>28</v>
      </c>
      <c r="F88" s="5">
        <v>272</v>
      </c>
    </row>
    <row r="89" spans="1:6">
      <c r="A89" s="7" t="s">
        <v>135</v>
      </c>
      <c r="B89" s="5">
        <v>127</v>
      </c>
      <c r="C89" s="5">
        <v>118</v>
      </c>
      <c r="D89" s="5">
        <v>13</v>
      </c>
      <c r="E89" s="5">
        <v>12</v>
      </c>
      <c r="F89" s="5">
        <v>270</v>
      </c>
    </row>
    <row r="90" spans="1:6">
      <c r="A90" s="7" t="s">
        <v>67</v>
      </c>
      <c r="B90" s="5">
        <v>179</v>
      </c>
      <c r="C90" s="5">
        <v>76</v>
      </c>
      <c r="D90" s="5">
        <v>3</v>
      </c>
      <c r="E90" s="5"/>
      <c r="F90" s="5">
        <v>258</v>
      </c>
    </row>
    <row r="91" spans="1:6">
      <c r="A91" s="7" t="s">
        <v>128</v>
      </c>
      <c r="B91" s="5">
        <v>99</v>
      </c>
      <c r="C91" s="5">
        <v>69</v>
      </c>
      <c r="D91" s="5">
        <v>3</v>
      </c>
      <c r="E91" s="5">
        <v>24</v>
      </c>
      <c r="F91" s="5">
        <v>195</v>
      </c>
    </row>
    <row r="92" spans="1:6">
      <c r="A92" s="7" t="s">
        <v>76</v>
      </c>
      <c r="B92" s="5">
        <v>75</v>
      </c>
      <c r="C92" s="5">
        <v>103</v>
      </c>
      <c r="D92" s="5">
        <v>4</v>
      </c>
      <c r="E92" s="5">
        <v>6</v>
      </c>
      <c r="F92" s="5">
        <v>188</v>
      </c>
    </row>
    <row r="93" spans="1:6">
      <c r="A93" s="7" t="s">
        <v>81</v>
      </c>
      <c r="B93" s="5">
        <v>43</v>
      </c>
      <c r="C93" s="5">
        <v>90</v>
      </c>
      <c r="D93" s="5">
        <v>8</v>
      </c>
      <c r="E93" s="5">
        <v>6</v>
      </c>
      <c r="F93" s="5">
        <v>147</v>
      </c>
    </row>
    <row r="94" spans="1:6">
      <c r="A94" s="7" t="s">
        <v>171</v>
      </c>
      <c r="B94" s="5">
        <v>26</v>
      </c>
      <c r="C94" s="5">
        <v>35</v>
      </c>
      <c r="D94" s="5">
        <v>4</v>
      </c>
      <c r="E94" s="5"/>
      <c r="F94" s="5">
        <v>65</v>
      </c>
    </row>
    <row r="95" spans="1:6">
      <c r="A95" s="7" t="s">
        <v>2529</v>
      </c>
      <c r="B95" s="5">
        <v>6272</v>
      </c>
      <c r="C95" s="5">
        <v>4672</v>
      </c>
      <c r="D95" s="5">
        <v>317</v>
      </c>
      <c r="E95" s="5">
        <v>736</v>
      </c>
      <c r="F95" s="5">
        <v>11997</v>
      </c>
    </row>
    <row r="102" spans="1:12">
      <c r="F102" t="s">
        <v>2541</v>
      </c>
      <c r="J102" t="s">
        <v>2542</v>
      </c>
    </row>
    <row r="103" spans="1:12">
      <c r="A103" s="6" t="s">
        <v>10</v>
      </c>
      <c r="B103" s="6" t="s">
        <v>11</v>
      </c>
      <c r="C103" t="s">
        <v>2520</v>
      </c>
      <c r="D103" t="s">
        <v>2519</v>
      </c>
      <c r="F103" t="str">
        <f>A103</f>
        <v>State</v>
      </c>
      <c r="G103" t="s">
        <v>11</v>
      </c>
      <c r="H103" t="s">
        <v>2525</v>
      </c>
      <c r="J103" t="str">
        <f>A103</f>
        <v>State</v>
      </c>
      <c r="K103" t="s">
        <v>11</v>
      </c>
      <c r="L103" t="s">
        <v>2543</v>
      </c>
    </row>
    <row r="104" spans="1:12">
      <c r="A104" t="s">
        <v>19</v>
      </c>
      <c r="B104" t="s">
        <v>115</v>
      </c>
      <c r="C104" s="5">
        <v>579</v>
      </c>
      <c r="D104" s="5">
        <v>31884.999999999996</v>
      </c>
      <c r="F104" t="str">
        <f>IF(A104="","",A104)</f>
        <v>California</v>
      </c>
      <c r="G104" t="str">
        <f t="shared" ref="G104" si="1">IF(B104="","",B104)</f>
        <v>Alameda County</v>
      </c>
      <c r="H104">
        <f>IF(C104="","",C104)</f>
        <v>579</v>
      </c>
      <c r="J104" t="str">
        <f>IF(A104="","",A104)</f>
        <v>California</v>
      </c>
      <c r="K104" t="str">
        <f>IF(B104="","",B104)</f>
        <v>Alameda County</v>
      </c>
      <c r="L104">
        <f>IF(D104="","",D104)</f>
        <v>31884.999999999996</v>
      </c>
    </row>
    <row r="105" spans="1:12">
      <c r="A105" t="s">
        <v>19</v>
      </c>
      <c r="B105" t="s">
        <v>20</v>
      </c>
      <c r="C105" s="5">
        <v>1</v>
      </c>
      <c r="D105" s="5">
        <v>10.9</v>
      </c>
      <c r="F105" t="str">
        <f t="shared" ref="F105:F168" si="2">IF(A105="","",A105)</f>
        <v>California</v>
      </c>
      <c r="G105" t="str">
        <f t="shared" ref="G105:G168" si="3">IF(B105="","",B105)</f>
        <v>Alpine County</v>
      </c>
      <c r="H105">
        <f t="shared" ref="H105:H168" si="4">IF(C105="","",C105)</f>
        <v>1</v>
      </c>
      <c r="J105" t="str">
        <f t="shared" ref="J105:J168" si="5">IF(A105="","",A105)</f>
        <v>California</v>
      </c>
      <c r="K105" t="str">
        <f t="shared" ref="K105:K168" si="6">IF(B105="","",B105)</f>
        <v>Alpine County</v>
      </c>
      <c r="L105">
        <f t="shared" ref="L105:L168" si="7">IF(D105="","",D105)</f>
        <v>10.9</v>
      </c>
    </row>
    <row r="106" spans="1:12">
      <c r="A106" t="s">
        <v>19</v>
      </c>
      <c r="B106" t="s">
        <v>641</v>
      </c>
      <c r="C106" s="5">
        <v>9</v>
      </c>
      <c r="D106" s="5">
        <v>800.3</v>
      </c>
      <c r="F106" t="str">
        <f t="shared" si="2"/>
        <v>California</v>
      </c>
      <c r="G106" t="str">
        <f t="shared" si="3"/>
        <v>Amador County</v>
      </c>
      <c r="H106">
        <f t="shared" si="4"/>
        <v>9</v>
      </c>
      <c r="J106" t="str">
        <f t="shared" si="5"/>
        <v>California</v>
      </c>
      <c r="K106" t="str">
        <f t="shared" si="6"/>
        <v>Amador County</v>
      </c>
      <c r="L106">
        <f t="shared" si="7"/>
        <v>800.3</v>
      </c>
    </row>
    <row r="107" spans="1:12">
      <c r="A107" t="s">
        <v>19</v>
      </c>
      <c r="B107" t="s">
        <v>967</v>
      </c>
      <c r="C107" s="5">
        <v>35</v>
      </c>
      <c r="D107" s="5">
        <v>1062.5999999999999</v>
      </c>
      <c r="F107" t="str">
        <f t="shared" si="2"/>
        <v>California</v>
      </c>
      <c r="G107" t="str">
        <f t="shared" si="3"/>
        <v>Butte County</v>
      </c>
      <c r="H107">
        <f t="shared" si="4"/>
        <v>35</v>
      </c>
      <c r="J107" t="str">
        <f t="shared" si="5"/>
        <v>California</v>
      </c>
      <c r="K107" t="str">
        <f t="shared" si="6"/>
        <v>Butte County</v>
      </c>
      <c r="L107">
        <f t="shared" si="7"/>
        <v>1062.5999999999999</v>
      </c>
    </row>
    <row r="108" spans="1:12">
      <c r="A108" t="s">
        <v>19</v>
      </c>
      <c r="B108" t="s">
        <v>84</v>
      </c>
      <c r="C108" s="5">
        <v>12</v>
      </c>
      <c r="D108" s="5">
        <v>326.20000000000005</v>
      </c>
      <c r="F108" t="str">
        <f t="shared" si="2"/>
        <v>California</v>
      </c>
      <c r="G108" t="str">
        <f t="shared" si="3"/>
        <v>Calaveras County</v>
      </c>
      <c r="H108">
        <f t="shared" si="4"/>
        <v>12</v>
      </c>
      <c r="J108" t="str">
        <f t="shared" si="5"/>
        <v>California</v>
      </c>
      <c r="K108" t="str">
        <f t="shared" si="6"/>
        <v>Calaveras County</v>
      </c>
      <c r="L108">
        <f t="shared" si="7"/>
        <v>326.20000000000005</v>
      </c>
    </row>
    <row r="109" spans="1:12">
      <c r="A109" t="s">
        <v>19</v>
      </c>
      <c r="B109" t="s">
        <v>1383</v>
      </c>
      <c r="C109" s="5">
        <v>4</v>
      </c>
      <c r="D109" s="5">
        <v>167.5</v>
      </c>
      <c r="F109" t="str">
        <f t="shared" si="2"/>
        <v>California</v>
      </c>
      <c r="G109" t="str">
        <f t="shared" si="3"/>
        <v>Colusa County</v>
      </c>
      <c r="H109">
        <f t="shared" si="4"/>
        <v>4</v>
      </c>
      <c r="J109" t="str">
        <f t="shared" si="5"/>
        <v>California</v>
      </c>
      <c r="K109" t="str">
        <f t="shared" si="6"/>
        <v>Colusa County</v>
      </c>
      <c r="L109">
        <f t="shared" si="7"/>
        <v>167.5</v>
      </c>
    </row>
    <row r="110" spans="1:12">
      <c r="A110" t="s">
        <v>19</v>
      </c>
      <c r="B110" t="s">
        <v>24</v>
      </c>
      <c r="C110" s="5">
        <v>341</v>
      </c>
      <c r="D110" s="5">
        <v>16168.7</v>
      </c>
      <c r="F110" t="str">
        <f t="shared" si="2"/>
        <v>California</v>
      </c>
      <c r="G110" t="str">
        <f t="shared" si="3"/>
        <v>Contra Costa County</v>
      </c>
      <c r="H110">
        <f t="shared" si="4"/>
        <v>341</v>
      </c>
      <c r="J110" t="str">
        <f t="shared" si="5"/>
        <v>California</v>
      </c>
      <c r="K110" t="str">
        <f t="shared" si="6"/>
        <v>Contra Costa County</v>
      </c>
      <c r="L110">
        <f t="shared" si="7"/>
        <v>16168.7</v>
      </c>
    </row>
    <row r="111" spans="1:12">
      <c r="A111" t="s">
        <v>19</v>
      </c>
      <c r="B111" t="s">
        <v>2204</v>
      </c>
      <c r="C111" s="5">
        <v>13</v>
      </c>
      <c r="D111" s="5">
        <v>322.40000000000003</v>
      </c>
      <c r="F111" t="str">
        <f t="shared" si="2"/>
        <v>California</v>
      </c>
      <c r="G111" t="str">
        <f t="shared" si="3"/>
        <v>Del Norte County</v>
      </c>
      <c r="H111">
        <f t="shared" si="4"/>
        <v>13</v>
      </c>
      <c r="J111" t="str">
        <f t="shared" si="5"/>
        <v>California</v>
      </c>
      <c r="K111" t="str">
        <f t="shared" si="6"/>
        <v>Del Norte County</v>
      </c>
      <c r="L111">
        <f t="shared" si="7"/>
        <v>322.40000000000003</v>
      </c>
    </row>
    <row r="112" spans="1:12">
      <c r="A112" t="s">
        <v>19</v>
      </c>
      <c r="B112" t="s">
        <v>437</v>
      </c>
      <c r="C112" s="5">
        <v>31</v>
      </c>
      <c r="D112" s="5">
        <v>2092.8000000000002</v>
      </c>
      <c r="F112" t="str">
        <f t="shared" si="2"/>
        <v>California</v>
      </c>
      <c r="G112" t="str">
        <f t="shared" si="3"/>
        <v>El Dorado County</v>
      </c>
      <c r="H112">
        <f t="shared" si="4"/>
        <v>31</v>
      </c>
      <c r="J112" t="str">
        <f t="shared" si="5"/>
        <v>California</v>
      </c>
      <c r="K112" t="str">
        <f t="shared" si="6"/>
        <v>El Dorado County</v>
      </c>
      <c r="L112">
        <f t="shared" si="7"/>
        <v>2092.8000000000002</v>
      </c>
    </row>
    <row r="113" spans="1:12">
      <c r="A113" t="s">
        <v>19</v>
      </c>
      <c r="B113" t="s">
        <v>28</v>
      </c>
      <c r="C113" s="5">
        <v>279</v>
      </c>
      <c r="D113" s="5">
        <v>12662.500000000002</v>
      </c>
      <c r="F113" t="str">
        <f t="shared" si="2"/>
        <v>California</v>
      </c>
      <c r="G113" t="str">
        <f t="shared" si="3"/>
        <v>Fresno County</v>
      </c>
      <c r="H113">
        <f t="shared" si="4"/>
        <v>279</v>
      </c>
      <c r="J113" t="str">
        <f t="shared" si="5"/>
        <v>California</v>
      </c>
      <c r="K113" t="str">
        <f t="shared" si="6"/>
        <v>Fresno County</v>
      </c>
      <c r="L113">
        <f t="shared" si="7"/>
        <v>12662.500000000002</v>
      </c>
    </row>
    <row r="114" spans="1:12">
      <c r="A114" t="s">
        <v>19</v>
      </c>
      <c r="B114" t="s">
        <v>208</v>
      </c>
      <c r="C114" s="5">
        <v>9</v>
      </c>
      <c r="D114" s="5">
        <v>343.2</v>
      </c>
      <c r="F114" t="str">
        <f t="shared" si="2"/>
        <v>California</v>
      </c>
      <c r="G114" t="str">
        <f t="shared" si="3"/>
        <v>Glenn County</v>
      </c>
      <c r="H114">
        <f t="shared" si="4"/>
        <v>9</v>
      </c>
      <c r="J114" t="str">
        <f t="shared" si="5"/>
        <v>California</v>
      </c>
      <c r="K114" t="str">
        <f t="shared" si="6"/>
        <v>Glenn County</v>
      </c>
      <c r="L114">
        <f t="shared" si="7"/>
        <v>343.2</v>
      </c>
    </row>
    <row r="115" spans="1:12">
      <c r="A115" t="s">
        <v>19</v>
      </c>
      <c r="B115" t="s">
        <v>587</v>
      </c>
      <c r="C115" s="5">
        <v>49</v>
      </c>
      <c r="D115" s="5">
        <v>2188.2999999999997</v>
      </c>
      <c r="F115" t="str">
        <f t="shared" si="2"/>
        <v>California</v>
      </c>
      <c r="G115" t="str">
        <f t="shared" si="3"/>
        <v>Humboldt County</v>
      </c>
      <c r="H115">
        <f t="shared" si="4"/>
        <v>49</v>
      </c>
      <c r="J115" t="str">
        <f t="shared" si="5"/>
        <v>California</v>
      </c>
      <c r="K115" t="str">
        <f t="shared" si="6"/>
        <v>Humboldt County</v>
      </c>
      <c r="L115">
        <f t="shared" si="7"/>
        <v>2188.2999999999997</v>
      </c>
    </row>
    <row r="116" spans="1:12">
      <c r="A116" t="s">
        <v>19</v>
      </c>
      <c r="B116" t="s">
        <v>331</v>
      </c>
      <c r="C116" s="5">
        <v>59</v>
      </c>
      <c r="D116" s="5">
        <v>2661.5999999999995</v>
      </c>
      <c r="F116" t="str">
        <f t="shared" si="2"/>
        <v>California</v>
      </c>
      <c r="G116" t="str">
        <f t="shared" si="3"/>
        <v>Imperial County</v>
      </c>
      <c r="H116">
        <f t="shared" si="4"/>
        <v>59</v>
      </c>
      <c r="J116" t="str">
        <f t="shared" si="5"/>
        <v>California</v>
      </c>
      <c r="K116" t="str">
        <f t="shared" si="6"/>
        <v>Imperial County</v>
      </c>
      <c r="L116">
        <f t="shared" si="7"/>
        <v>2661.5999999999995</v>
      </c>
    </row>
    <row r="117" spans="1:12">
      <c r="A117" t="s">
        <v>19</v>
      </c>
      <c r="B117" t="s">
        <v>86</v>
      </c>
      <c r="C117" s="5">
        <v>8</v>
      </c>
      <c r="D117" s="5">
        <v>887.5</v>
      </c>
      <c r="F117" t="str">
        <f t="shared" si="2"/>
        <v>California</v>
      </c>
      <c r="G117" t="str">
        <f t="shared" si="3"/>
        <v>Inyo County</v>
      </c>
      <c r="H117">
        <f t="shared" si="4"/>
        <v>8</v>
      </c>
      <c r="J117" t="str">
        <f t="shared" si="5"/>
        <v>California</v>
      </c>
      <c r="K117" t="str">
        <f t="shared" si="6"/>
        <v>Inyo County</v>
      </c>
      <c r="L117">
        <f t="shared" si="7"/>
        <v>887.5</v>
      </c>
    </row>
    <row r="118" spans="1:12">
      <c r="A118" t="s">
        <v>19</v>
      </c>
      <c r="B118" t="s">
        <v>147</v>
      </c>
      <c r="C118" s="5">
        <v>222</v>
      </c>
      <c r="D118" s="5">
        <v>11354.199999999993</v>
      </c>
      <c r="F118" t="str">
        <f t="shared" si="2"/>
        <v>California</v>
      </c>
      <c r="G118" t="str">
        <f t="shared" si="3"/>
        <v>Kern County</v>
      </c>
      <c r="H118">
        <f t="shared" si="4"/>
        <v>222</v>
      </c>
      <c r="J118" t="str">
        <f t="shared" si="5"/>
        <v>California</v>
      </c>
      <c r="K118" t="str">
        <f t="shared" si="6"/>
        <v>Kern County</v>
      </c>
      <c r="L118">
        <f t="shared" si="7"/>
        <v>11354.199999999993</v>
      </c>
    </row>
    <row r="119" spans="1:12">
      <c r="A119" t="s">
        <v>19</v>
      </c>
      <c r="B119" t="s">
        <v>334</v>
      </c>
      <c r="C119" s="5">
        <v>36</v>
      </c>
      <c r="D119" s="5">
        <v>1558.4</v>
      </c>
      <c r="F119" t="str">
        <f t="shared" si="2"/>
        <v>California</v>
      </c>
      <c r="G119" t="str">
        <f t="shared" si="3"/>
        <v>Kings County</v>
      </c>
      <c r="H119">
        <f t="shared" si="4"/>
        <v>36</v>
      </c>
      <c r="J119" t="str">
        <f t="shared" si="5"/>
        <v>California</v>
      </c>
      <c r="K119" t="str">
        <f t="shared" si="6"/>
        <v>Kings County</v>
      </c>
      <c r="L119">
        <f t="shared" si="7"/>
        <v>1558.4</v>
      </c>
    </row>
    <row r="120" spans="1:12">
      <c r="A120" t="s">
        <v>19</v>
      </c>
      <c r="B120" t="s">
        <v>949</v>
      </c>
      <c r="C120" s="5">
        <v>30</v>
      </c>
      <c r="D120" s="5">
        <v>2223.9</v>
      </c>
      <c r="F120" t="str">
        <f t="shared" si="2"/>
        <v>California</v>
      </c>
      <c r="G120" t="str">
        <f t="shared" si="3"/>
        <v>Lake County</v>
      </c>
      <c r="H120">
        <f t="shared" si="4"/>
        <v>30</v>
      </c>
      <c r="J120" t="str">
        <f t="shared" si="5"/>
        <v>California</v>
      </c>
      <c r="K120" t="str">
        <f t="shared" si="6"/>
        <v>Lake County</v>
      </c>
      <c r="L120">
        <f t="shared" si="7"/>
        <v>2223.9</v>
      </c>
    </row>
    <row r="121" spans="1:12">
      <c r="A121" t="s">
        <v>19</v>
      </c>
      <c r="B121" t="s">
        <v>1426</v>
      </c>
      <c r="C121" s="5">
        <v>1</v>
      </c>
      <c r="D121" s="5">
        <v>26.2</v>
      </c>
      <c r="F121" t="str">
        <f t="shared" si="2"/>
        <v>California</v>
      </c>
      <c r="G121" t="str">
        <f t="shared" si="3"/>
        <v>Lassen County</v>
      </c>
      <c r="H121">
        <f t="shared" si="4"/>
        <v>1</v>
      </c>
      <c r="J121" t="str">
        <f t="shared" si="5"/>
        <v>California</v>
      </c>
      <c r="K121" t="str">
        <f t="shared" si="6"/>
        <v>Lassen County</v>
      </c>
      <c r="L121">
        <f t="shared" si="7"/>
        <v>26.2</v>
      </c>
    </row>
    <row r="122" spans="1:12">
      <c r="A122" t="s">
        <v>19</v>
      </c>
      <c r="B122" t="s">
        <v>33</v>
      </c>
      <c r="C122" s="5">
        <v>3991</v>
      </c>
      <c r="D122" s="5">
        <v>215551.19999999981</v>
      </c>
      <c r="F122" t="str">
        <f t="shared" si="2"/>
        <v>California</v>
      </c>
      <c r="G122" t="str">
        <f t="shared" si="3"/>
        <v>Los Angeles County</v>
      </c>
      <c r="H122">
        <f t="shared" si="4"/>
        <v>3991</v>
      </c>
      <c r="J122" t="str">
        <f t="shared" si="5"/>
        <v>California</v>
      </c>
      <c r="K122" t="str">
        <f t="shared" si="6"/>
        <v>Los Angeles County</v>
      </c>
      <c r="L122">
        <f t="shared" si="7"/>
        <v>215551.19999999981</v>
      </c>
    </row>
    <row r="123" spans="1:12">
      <c r="A123" t="s">
        <v>19</v>
      </c>
      <c r="B123" t="s">
        <v>364</v>
      </c>
      <c r="C123" s="5">
        <v>45</v>
      </c>
      <c r="D123" s="5">
        <v>2687.3999999999996</v>
      </c>
      <c r="F123" t="str">
        <f t="shared" si="2"/>
        <v>California</v>
      </c>
      <c r="G123" t="str">
        <f t="shared" si="3"/>
        <v>Madera County</v>
      </c>
      <c r="H123">
        <f t="shared" si="4"/>
        <v>45</v>
      </c>
      <c r="J123" t="str">
        <f t="shared" si="5"/>
        <v>California</v>
      </c>
      <c r="K123" t="str">
        <f t="shared" si="6"/>
        <v>Madera County</v>
      </c>
      <c r="L123">
        <f t="shared" si="7"/>
        <v>2687.3999999999996</v>
      </c>
    </row>
    <row r="124" spans="1:12">
      <c r="A124" t="s">
        <v>19</v>
      </c>
      <c r="B124" t="s">
        <v>545</v>
      </c>
      <c r="C124" s="5">
        <v>39</v>
      </c>
      <c r="D124" s="5">
        <v>1463.3000000000002</v>
      </c>
      <c r="F124" t="str">
        <f t="shared" si="2"/>
        <v>California</v>
      </c>
      <c r="G124" t="str">
        <f t="shared" si="3"/>
        <v>Marin County</v>
      </c>
      <c r="H124">
        <f t="shared" si="4"/>
        <v>39</v>
      </c>
      <c r="J124" t="str">
        <f t="shared" si="5"/>
        <v>California</v>
      </c>
      <c r="K124" t="str">
        <f t="shared" si="6"/>
        <v>Marin County</v>
      </c>
      <c r="L124">
        <f t="shared" si="7"/>
        <v>1463.3000000000002</v>
      </c>
    </row>
    <row r="125" spans="1:12">
      <c r="A125" t="s">
        <v>19</v>
      </c>
      <c r="B125" t="s">
        <v>416</v>
      </c>
      <c r="C125" s="5">
        <v>6</v>
      </c>
      <c r="D125" s="5">
        <v>445.79999999999995</v>
      </c>
      <c r="F125" t="str">
        <f t="shared" si="2"/>
        <v>California</v>
      </c>
      <c r="G125" t="str">
        <f t="shared" si="3"/>
        <v>Mariposa County</v>
      </c>
      <c r="H125">
        <f t="shared" si="4"/>
        <v>6</v>
      </c>
      <c r="J125" t="str">
        <f t="shared" si="5"/>
        <v>California</v>
      </c>
      <c r="K125" t="str">
        <f t="shared" si="6"/>
        <v>Mariposa County</v>
      </c>
      <c r="L125">
        <f t="shared" si="7"/>
        <v>445.79999999999995</v>
      </c>
    </row>
    <row r="126" spans="1:12">
      <c r="A126" t="s">
        <v>19</v>
      </c>
      <c r="B126" t="s">
        <v>258</v>
      </c>
      <c r="C126" s="5">
        <v>9</v>
      </c>
      <c r="D126" s="5">
        <v>273.59999999999997</v>
      </c>
      <c r="F126" t="str">
        <f t="shared" si="2"/>
        <v>California</v>
      </c>
      <c r="G126" t="str">
        <f t="shared" si="3"/>
        <v>Mendocino County</v>
      </c>
      <c r="H126">
        <f t="shared" si="4"/>
        <v>9</v>
      </c>
      <c r="J126" t="str">
        <f t="shared" si="5"/>
        <v>California</v>
      </c>
      <c r="K126" t="str">
        <f t="shared" si="6"/>
        <v>Mendocino County</v>
      </c>
      <c r="L126">
        <f t="shared" si="7"/>
        <v>273.59999999999997</v>
      </c>
    </row>
    <row r="127" spans="1:12">
      <c r="A127" t="s">
        <v>19</v>
      </c>
      <c r="B127" t="s">
        <v>186</v>
      </c>
      <c r="C127" s="5">
        <v>60</v>
      </c>
      <c r="D127" s="5">
        <v>2690.4</v>
      </c>
      <c r="F127" t="str">
        <f t="shared" si="2"/>
        <v>California</v>
      </c>
      <c r="G127" t="str">
        <f t="shared" si="3"/>
        <v>Merced County</v>
      </c>
      <c r="H127">
        <f t="shared" si="4"/>
        <v>60</v>
      </c>
      <c r="J127" t="str">
        <f t="shared" si="5"/>
        <v>California</v>
      </c>
      <c r="K127" t="str">
        <f t="shared" si="6"/>
        <v>Merced County</v>
      </c>
      <c r="L127">
        <f t="shared" si="7"/>
        <v>2690.4</v>
      </c>
    </row>
    <row r="128" spans="1:12">
      <c r="A128" t="s">
        <v>19</v>
      </c>
      <c r="B128" t="s">
        <v>392</v>
      </c>
      <c r="C128" s="5">
        <v>2</v>
      </c>
      <c r="D128" s="5">
        <v>28.4</v>
      </c>
      <c r="F128" t="str">
        <f t="shared" si="2"/>
        <v>California</v>
      </c>
      <c r="G128" t="str">
        <f t="shared" si="3"/>
        <v>Modoc County</v>
      </c>
      <c r="H128">
        <f t="shared" si="4"/>
        <v>2</v>
      </c>
      <c r="J128" t="str">
        <f t="shared" si="5"/>
        <v>California</v>
      </c>
      <c r="K128" t="str">
        <f t="shared" si="6"/>
        <v>Modoc County</v>
      </c>
      <c r="L128">
        <f t="shared" si="7"/>
        <v>28.4</v>
      </c>
    </row>
    <row r="129" spans="1:12">
      <c r="A129" t="s">
        <v>19</v>
      </c>
      <c r="B129" t="s">
        <v>670</v>
      </c>
      <c r="C129" s="5">
        <v>4</v>
      </c>
      <c r="D129" s="5">
        <v>204.8</v>
      </c>
      <c r="F129" t="str">
        <f t="shared" si="2"/>
        <v>California</v>
      </c>
      <c r="G129" t="str">
        <f t="shared" si="3"/>
        <v>Mono County</v>
      </c>
      <c r="H129">
        <f t="shared" si="4"/>
        <v>4</v>
      </c>
      <c r="J129" t="str">
        <f t="shared" si="5"/>
        <v>California</v>
      </c>
      <c r="K129" t="str">
        <f t="shared" si="6"/>
        <v>Mono County</v>
      </c>
      <c r="L129">
        <f t="shared" si="7"/>
        <v>204.8</v>
      </c>
    </row>
    <row r="130" spans="1:12">
      <c r="A130" t="s">
        <v>19</v>
      </c>
      <c r="B130" t="s">
        <v>802</v>
      </c>
      <c r="C130" s="5">
        <v>31</v>
      </c>
      <c r="D130" s="5">
        <v>1607.8999999999999</v>
      </c>
      <c r="F130" t="str">
        <f t="shared" si="2"/>
        <v>California</v>
      </c>
      <c r="G130" t="str">
        <f t="shared" si="3"/>
        <v>Monterey County</v>
      </c>
      <c r="H130">
        <f t="shared" si="4"/>
        <v>31</v>
      </c>
      <c r="J130" t="str">
        <f t="shared" si="5"/>
        <v>California</v>
      </c>
      <c r="K130" t="str">
        <f t="shared" si="6"/>
        <v>Monterey County</v>
      </c>
      <c r="L130">
        <f t="shared" si="7"/>
        <v>1607.8999999999999</v>
      </c>
    </row>
    <row r="131" spans="1:12">
      <c r="A131" t="s">
        <v>19</v>
      </c>
      <c r="B131" t="s">
        <v>98</v>
      </c>
      <c r="C131" s="5">
        <v>88</v>
      </c>
      <c r="D131" s="5">
        <v>6444.9</v>
      </c>
      <c r="F131" t="str">
        <f t="shared" si="2"/>
        <v>California</v>
      </c>
      <c r="G131" t="str">
        <f t="shared" si="3"/>
        <v>Napa County</v>
      </c>
      <c r="H131">
        <f t="shared" si="4"/>
        <v>88</v>
      </c>
      <c r="J131" t="str">
        <f t="shared" si="5"/>
        <v>California</v>
      </c>
      <c r="K131" t="str">
        <f t="shared" si="6"/>
        <v>Napa County</v>
      </c>
      <c r="L131">
        <f t="shared" si="7"/>
        <v>6444.9</v>
      </c>
    </row>
    <row r="132" spans="1:12">
      <c r="A132" t="s">
        <v>19</v>
      </c>
      <c r="B132" t="s">
        <v>49</v>
      </c>
      <c r="C132" s="5">
        <v>25</v>
      </c>
      <c r="D132" s="5">
        <v>1809.3</v>
      </c>
      <c r="F132" t="str">
        <f t="shared" si="2"/>
        <v>California</v>
      </c>
      <c r="G132" t="str">
        <f t="shared" si="3"/>
        <v>Nevada County</v>
      </c>
      <c r="H132">
        <f t="shared" si="4"/>
        <v>25</v>
      </c>
      <c r="J132" t="str">
        <f t="shared" si="5"/>
        <v>California</v>
      </c>
      <c r="K132" t="str">
        <f t="shared" si="6"/>
        <v>Nevada County</v>
      </c>
      <c r="L132">
        <f t="shared" si="7"/>
        <v>1809.3</v>
      </c>
    </row>
    <row r="133" spans="1:12">
      <c r="A133" t="s">
        <v>19</v>
      </c>
      <c r="B133" t="s">
        <v>188</v>
      </c>
      <c r="C133" s="5">
        <v>178</v>
      </c>
      <c r="D133" s="5">
        <v>9680.399999999996</v>
      </c>
      <c r="F133" t="str">
        <f t="shared" si="2"/>
        <v>California</v>
      </c>
      <c r="G133" t="str">
        <f t="shared" si="3"/>
        <v>Orange County</v>
      </c>
      <c r="H133">
        <f t="shared" si="4"/>
        <v>178</v>
      </c>
      <c r="J133" t="str">
        <f t="shared" si="5"/>
        <v>California</v>
      </c>
      <c r="K133" t="str">
        <f t="shared" si="6"/>
        <v>Orange County</v>
      </c>
      <c r="L133">
        <f t="shared" si="7"/>
        <v>9680.399999999996</v>
      </c>
    </row>
    <row r="134" spans="1:12">
      <c r="A134" t="s">
        <v>19</v>
      </c>
      <c r="B134" t="s">
        <v>52</v>
      </c>
      <c r="C134" s="5">
        <v>141</v>
      </c>
      <c r="D134" s="5">
        <v>9414.7999999999993</v>
      </c>
      <c r="F134" t="str">
        <f t="shared" si="2"/>
        <v>California</v>
      </c>
      <c r="G134" t="str">
        <f t="shared" si="3"/>
        <v>Placer County</v>
      </c>
      <c r="H134">
        <f t="shared" si="4"/>
        <v>141</v>
      </c>
      <c r="J134" t="str">
        <f t="shared" si="5"/>
        <v>California</v>
      </c>
      <c r="K134" t="str">
        <f t="shared" si="6"/>
        <v>Placer County</v>
      </c>
      <c r="L134">
        <f t="shared" si="7"/>
        <v>9414.7999999999993</v>
      </c>
    </row>
    <row r="135" spans="1:12">
      <c r="A135" t="s">
        <v>19</v>
      </c>
      <c r="B135" t="s">
        <v>338</v>
      </c>
      <c r="C135" s="5">
        <v>6</v>
      </c>
      <c r="D135" s="5">
        <v>206.1</v>
      </c>
      <c r="F135" t="str">
        <f t="shared" si="2"/>
        <v>California</v>
      </c>
      <c r="G135" t="str">
        <f t="shared" si="3"/>
        <v>Plumas County</v>
      </c>
      <c r="H135">
        <f t="shared" si="4"/>
        <v>6</v>
      </c>
      <c r="J135" t="str">
        <f t="shared" si="5"/>
        <v>California</v>
      </c>
      <c r="K135" t="str">
        <f t="shared" si="6"/>
        <v>Plumas County</v>
      </c>
      <c r="L135">
        <f t="shared" si="7"/>
        <v>206.1</v>
      </c>
    </row>
    <row r="136" spans="1:12">
      <c r="A136" t="s">
        <v>19</v>
      </c>
      <c r="B136" t="s">
        <v>158</v>
      </c>
      <c r="C136" s="5">
        <v>178</v>
      </c>
      <c r="D136" s="5">
        <v>7691.3</v>
      </c>
      <c r="F136" t="str">
        <f t="shared" si="2"/>
        <v>California</v>
      </c>
      <c r="G136" t="str">
        <f t="shared" si="3"/>
        <v>Riverside County</v>
      </c>
      <c r="H136">
        <f t="shared" si="4"/>
        <v>178</v>
      </c>
      <c r="J136" t="str">
        <f t="shared" si="5"/>
        <v>California</v>
      </c>
      <c r="K136" t="str">
        <f t="shared" si="6"/>
        <v>Riverside County</v>
      </c>
      <c r="L136">
        <f t="shared" si="7"/>
        <v>7691.3</v>
      </c>
    </row>
    <row r="137" spans="1:12">
      <c r="A137" t="s">
        <v>19</v>
      </c>
      <c r="B137" t="s">
        <v>55</v>
      </c>
      <c r="C137" s="5">
        <v>699</v>
      </c>
      <c r="D137" s="5">
        <v>37784.900000000016</v>
      </c>
      <c r="F137" t="str">
        <f t="shared" si="2"/>
        <v>California</v>
      </c>
      <c r="G137" t="str">
        <f t="shared" si="3"/>
        <v>Sacramento County</v>
      </c>
      <c r="H137">
        <f t="shared" si="4"/>
        <v>699</v>
      </c>
      <c r="J137" t="str">
        <f t="shared" si="5"/>
        <v>California</v>
      </c>
      <c r="K137" t="str">
        <f t="shared" si="6"/>
        <v>Sacramento County</v>
      </c>
      <c r="L137">
        <f t="shared" si="7"/>
        <v>37784.900000000016</v>
      </c>
    </row>
    <row r="138" spans="1:12">
      <c r="A138" t="s">
        <v>19</v>
      </c>
      <c r="B138" t="s">
        <v>342</v>
      </c>
      <c r="C138" s="5">
        <v>23</v>
      </c>
      <c r="D138" s="5">
        <v>1129.7</v>
      </c>
      <c r="F138" t="str">
        <f t="shared" si="2"/>
        <v>California</v>
      </c>
      <c r="G138" t="str">
        <f t="shared" si="3"/>
        <v>San Benito County</v>
      </c>
      <c r="H138">
        <f t="shared" si="4"/>
        <v>23</v>
      </c>
      <c r="J138" t="str">
        <f t="shared" si="5"/>
        <v>California</v>
      </c>
      <c r="K138" t="str">
        <f t="shared" si="6"/>
        <v>San Benito County</v>
      </c>
      <c r="L138">
        <f t="shared" si="7"/>
        <v>1129.7</v>
      </c>
    </row>
    <row r="139" spans="1:12">
      <c r="A139" t="s">
        <v>19</v>
      </c>
      <c r="B139" t="s">
        <v>59</v>
      </c>
      <c r="C139" s="5">
        <v>356</v>
      </c>
      <c r="D139" s="5">
        <v>20988.9</v>
      </c>
      <c r="F139" t="str">
        <f t="shared" si="2"/>
        <v>California</v>
      </c>
      <c r="G139" t="str">
        <f t="shared" si="3"/>
        <v>San Bernardino County</v>
      </c>
      <c r="H139">
        <f t="shared" si="4"/>
        <v>356</v>
      </c>
      <c r="J139" t="str">
        <f t="shared" si="5"/>
        <v>California</v>
      </c>
      <c r="K139" t="str">
        <f t="shared" si="6"/>
        <v>San Bernardino County</v>
      </c>
      <c r="L139">
        <f t="shared" si="7"/>
        <v>20988.9</v>
      </c>
    </row>
    <row r="140" spans="1:12">
      <c r="A140" t="s">
        <v>19</v>
      </c>
      <c r="B140" t="s">
        <v>62</v>
      </c>
      <c r="C140" s="5">
        <v>1768</v>
      </c>
      <c r="D140" s="5">
        <v>98367.099999999977</v>
      </c>
      <c r="F140" t="str">
        <f t="shared" si="2"/>
        <v>California</v>
      </c>
      <c r="G140" t="str">
        <f t="shared" si="3"/>
        <v>San Diego County</v>
      </c>
      <c r="H140">
        <f t="shared" si="4"/>
        <v>1768</v>
      </c>
      <c r="J140" t="str">
        <f t="shared" si="5"/>
        <v>California</v>
      </c>
      <c r="K140" t="str">
        <f t="shared" si="6"/>
        <v>San Diego County</v>
      </c>
      <c r="L140">
        <f t="shared" si="7"/>
        <v>98367.099999999977</v>
      </c>
    </row>
    <row r="141" spans="1:12">
      <c r="A141" t="s">
        <v>19</v>
      </c>
      <c r="B141" t="s">
        <v>2548</v>
      </c>
      <c r="C141" s="5">
        <v>307</v>
      </c>
      <c r="D141" s="5">
        <v>21911.9</v>
      </c>
      <c r="F141" t="str">
        <f t="shared" si="2"/>
        <v>California</v>
      </c>
      <c r="G141" t="s">
        <v>2547</v>
      </c>
      <c r="H141">
        <f t="shared" si="4"/>
        <v>307</v>
      </c>
      <c r="J141" t="str">
        <f t="shared" si="5"/>
        <v>California</v>
      </c>
      <c r="K141" t="s">
        <v>2548</v>
      </c>
      <c r="L141">
        <f t="shared" si="7"/>
        <v>21911.9</v>
      </c>
    </row>
    <row r="142" spans="1:12">
      <c r="A142" t="s">
        <v>19</v>
      </c>
      <c r="B142" t="s">
        <v>201</v>
      </c>
      <c r="C142" s="5">
        <v>117</v>
      </c>
      <c r="D142" s="5">
        <v>5441.2</v>
      </c>
      <c r="F142" t="str">
        <f t="shared" si="2"/>
        <v>California</v>
      </c>
      <c r="G142" t="str">
        <f t="shared" si="3"/>
        <v>San Joaquin County</v>
      </c>
      <c r="H142">
        <f t="shared" si="4"/>
        <v>117</v>
      </c>
      <c r="J142" t="str">
        <f t="shared" si="5"/>
        <v>California</v>
      </c>
      <c r="K142" t="str">
        <f t="shared" si="6"/>
        <v>San Joaquin County</v>
      </c>
      <c r="L142">
        <f t="shared" si="7"/>
        <v>5441.2</v>
      </c>
    </row>
    <row r="143" spans="1:12">
      <c r="A143" t="s">
        <v>19</v>
      </c>
      <c r="B143" t="s">
        <v>429</v>
      </c>
      <c r="C143" s="5">
        <v>13</v>
      </c>
      <c r="D143" s="5">
        <v>392.8</v>
      </c>
      <c r="F143" t="str">
        <f t="shared" si="2"/>
        <v>California</v>
      </c>
      <c r="G143" t="str">
        <f t="shared" si="3"/>
        <v>San Luis Obispo County</v>
      </c>
      <c r="H143">
        <f t="shared" si="4"/>
        <v>13</v>
      </c>
      <c r="J143" t="str">
        <f t="shared" si="5"/>
        <v>California</v>
      </c>
      <c r="K143" t="str">
        <f t="shared" si="6"/>
        <v>San Luis Obispo County</v>
      </c>
      <c r="L143">
        <f t="shared" si="7"/>
        <v>392.8</v>
      </c>
    </row>
    <row r="144" spans="1:12">
      <c r="A144" t="s">
        <v>19</v>
      </c>
      <c r="B144" t="s">
        <v>72</v>
      </c>
      <c r="C144" s="5">
        <v>364</v>
      </c>
      <c r="D144" s="5">
        <v>16172.000000000005</v>
      </c>
      <c r="F144" t="str">
        <f t="shared" si="2"/>
        <v>California</v>
      </c>
      <c r="G144" t="str">
        <f t="shared" si="3"/>
        <v>San Mateo County</v>
      </c>
      <c r="H144">
        <f t="shared" si="4"/>
        <v>364</v>
      </c>
      <c r="J144" t="str">
        <f t="shared" si="5"/>
        <v>California</v>
      </c>
      <c r="K144" t="str">
        <f t="shared" si="6"/>
        <v>San Mateo County</v>
      </c>
      <c r="L144">
        <f t="shared" si="7"/>
        <v>16172.000000000005</v>
      </c>
    </row>
    <row r="145" spans="1:12">
      <c r="A145" t="s">
        <v>19</v>
      </c>
      <c r="B145" t="s">
        <v>74</v>
      </c>
      <c r="C145" s="5">
        <v>95</v>
      </c>
      <c r="D145" s="5">
        <v>4334.9999999999991</v>
      </c>
      <c r="F145" t="str">
        <f t="shared" si="2"/>
        <v>California</v>
      </c>
      <c r="G145" t="str">
        <f t="shared" si="3"/>
        <v>Santa Barbara County</v>
      </c>
      <c r="H145">
        <f t="shared" si="4"/>
        <v>95</v>
      </c>
      <c r="J145" t="str">
        <f t="shared" si="5"/>
        <v>California</v>
      </c>
      <c r="K145" t="str">
        <f t="shared" si="6"/>
        <v>Santa Barbara County</v>
      </c>
      <c r="L145">
        <f t="shared" si="7"/>
        <v>4334.9999999999991</v>
      </c>
    </row>
    <row r="146" spans="1:12">
      <c r="A146" t="s">
        <v>19</v>
      </c>
      <c r="B146" t="s">
        <v>77</v>
      </c>
      <c r="C146" s="5">
        <v>737</v>
      </c>
      <c r="D146" s="5">
        <v>37449.000000000007</v>
      </c>
      <c r="F146" t="str">
        <f t="shared" si="2"/>
        <v>California</v>
      </c>
      <c r="G146" t="str">
        <f t="shared" si="3"/>
        <v>Santa Clara County</v>
      </c>
      <c r="H146">
        <f t="shared" si="4"/>
        <v>737</v>
      </c>
      <c r="J146" t="str">
        <f t="shared" si="5"/>
        <v>California</v>
      </c>
      <c r="K146" t="str">
        <f t="shared" si="6"/>
        <v>Santa Clara County</v>
      </c>
      <c r="L146">
        <f t="shared" si="7"/>
        <v>37449.000000000007</v>
      </c>
    </row>
    <row r="147" spans="1:12">
      <c r="A147" t="s">
        <v>19</v>
      </c>
      <c r="B147" t="s">
        <v>309</v>
      </c>
      <c r="C147" s="5">
        <v>39</v>
      </c>
      <c r="D147" s="5">
        <v>2447.5</v>
      </c>
      <c r="F147" t="str">
        <f t="shared" si="2"/>
        <v>California</v>
      </c>
      <c r="G147" t="str">
        <f t="shared" si="3"/>
        <v>Santa Cruz County</v>
      </c>
      <c r="H147">
        <f t="shared" si="4"/>
        <v>39</v>
      </c>
      <c r="J147" t="str">
        <f t="shared" si="5"/>
        <v>California</v>
      </c>
      <c r="K147" t="str">
        <f t="shared" si="6"/>
        <v>Santa Cruz County</v>
      </c>
      <c r="L147">
        <f t="shared" si="7"/>
        <v>2447.5</v>
      </c>
    </row>
    <row r="148" spans="1:12">
      <c r="A148" t="s">
        <v>19</v>
      </c>
      <c r="B148" t="s">
        <v>1116</v>
      </c>
      <c r="C148" s="5">
        <v>56</v>
      </c>
      <c r="D148" s="5">
        <v>3391.1</v>
      </c>
      <c r="F148" t="str">
        <f t="shared" si="2"/>
        <v>California</v>
      </c>
      <c r="G148" t="str">
        <f t="shared" si="3"/>
        <v>Shasta County</v>
      </c>
      <c r="H148">
        <f t="shared" si="4"/>
        <v>56</v>
      </c>
      <c r="J148" t="str">
        <f t="shared" si="5"/>
        <v>California</v>
      </c>
      <c r="K148" t="str">
        <f t="shared" si="6"/>
        <v>Shasta County</v>
      </c>
      <c r="L148">
        <f t="shared" si="7"/>
        <v>3391.1</v>
      </c>
    </row>
    <row r="149" spans="1:12">
      <c r="A149" t="s">
        <v>19</v>
      </c>
      <c r="B149" t="s">
        <v>700</v>
      </c>
      <c r="C149" s="5">
        <v>2</v>
      </c>
      <c r="D149" s="5">
        <v>30.8</v>
      </c>
      <c r="F149" t="str">
        <f t="shared" si="2"/>
        <v>California</v>
      </c>
      <c r="G149" t="str">
        <f t="shared" si="3"/>
        <v>Sierra County</v>
      </c>
      <c r="H149">
        <f t="shared" si="4"/>
        <v>2</v>
      </c>
      <c r="J149" t="str">
        <f t="shared" si="5"/>
        <v>California</v>
      </c>
      <c r="K149" t="str">
        <f t="shared" si="6"/>
        <v>Sierra County</v>
      </c>
      <c r="L149">
        <f t="shared" si="7"/>
        <v>30.8</v>
      </c>
    </row>
    <row r="150" spans="1:12">
      <c r="A150" t="s">
        <v>19</v>
      </c>
      <c r="B150" t="s">
        <v>268</v>
      </c>
      <c r="C150" s="5">
        <v>8</v>
      </c>
      <c r="D150" s="5">
        <v>332.3</v>
      </c>
      <c r="F150" t="str">
        <f t="shared" si="2"/>
        <v>California</v>
      </c>
      <c r="G150" t="str">
        <f t="shared" si="3"/>
        <v>Siskiyou County</v>
      </c>
      <c r="H150">
        <f t="shared" si="4"/>
        <v>8</v>
      </c>
      <c r="J150" t="str">
        <f t="shared" si="5"/>
        <v>California</v>
      </c>
      <c r="K150" t="str">
        <f t="shared" si="6"/>
        <v>Siskiyou County</v>
      </c>
      <c r="L150">
        <f t="shared" si="7"/>
        <v>332.3</v>
      </c>
    </row>
    <row r="151" spans="1:12">
      <c r="A151" t="s">
        <v>19</v>
      </c>
      <c r="B151" t="s">
        <v>377</v>
      </c>
      <c r="C151" s="5">
        <v>52</v>
      </c>
      <c r="D151" s="5">
        <v>3175.9999999999995</v>
      </c>
      <c r="F151" t="str">
        <f t="shared" si="2"/>
        <v>California</v>
      </c>
      <c r="G151" t="str">
        <f t="shared" si="3"/>
        <v>Solano County</v>
      </c>
      <c r="H151">
        <f t="shared" si="4"/>
        <v>52</v>
      </c>
      <c r="J151" t="str">
        <f t="shared" si="5"/>
        <v>California</v>
      </c>
      <c r="K151" t="str">
        <f t="shared" si="6"/>
        <v>Solano County</v>
      </c>
      <c r="L151">
        <f t="shared" si="7"/>
        <v>3175.9999999999995</v>
      </c>
    </row>
    <row r="152" spans="1:12">
      <c r="A152" t="s">
        <v>19</v>
      </c>
      <c r="B152" t="s">
        <v>108</v>
      </c>
      <c r="C152" s="5">
        <v>295</v>
      </c>
      <c r="D152" s="5">
        <v>20939.600000000002</v>
      </c>
      <c r="F152" t="str">
        <f t="shared" si="2"/>
        <v>California</v>
      </c>
      <c r="G152" t="str">
        <f t="shared" si="3"/>
        <v>Sonoma County</v>
      </c>
      <c r="H152">
        <f t="shared" si="4"/>
        <v>295</v>
      </c>
      <c r="J152" t="str">
        <f t="shared" si="5"/>
        <v>California</v>
      </c>
      <c r="K152" t="str">
        <f t="shared" si="6"/>
        <v>Sonoma County</v>
      </c>
      <c r="L152">
        <f t="shared" si="7"/>
        <v>20939.600000000002</v>
      </c>
    </row>
    <row r="153" spans="1:12">
      <c r="A153" t="s">
        <v>19</v>
      </c>
      <c r="B153" t="s">
        <v>110</v>
      </c>
      <c r="C153" s="5">
        <v>195</v>
      </c>
      <c r="D153" s="5">
        <v>10185.899999999996</v>
      </c>
      <c r="F153" t="str">
        <f t="shared" si="2"/>
        <v>California</v>
      </c>
      <c r="G153" t="str">
        <f t="shared" si="3"/>
        <v>Stanislaus County</v>
      </c>
      <c r="H153">
        <f t="shared" si="4"/>
        <v>195</v>
      </c>
      <c r="J153" t="str">
        <f t="shared" si="5"/>
        <v>California</v>
      </c>
      <c r="K153" t="str">
        <f t="shared" si="6"/>
        <v>Stanislaus County</v>
      </c>
      <c r="L153">
        <f t="shared" si="7"/>
        <v>10185.899999999996</v>
      </c>
    </row>
    <row r="154" spans="1:12">
      <c r="A154" t="s">
        <v>19</v>
      </c>
      <c r="B154" t="s">
        <v>292</v>
      </c>
      <c r="C154" s="5">
        <v>20</v>
      </c>
      <c r="D154" s="5">
        <v>958.7</v>
      </c>
      <c r="F154" t="str">
        <f t="shared" si="2"/>
        <v>California</v>
      </c>
      <c r="G154" t="str">
        <f t="shared" si="3"/>
        <v>Sutter County</v>
      </c>
      <c r="H154">
        <f t="shared" si="4"/>
        <v>20</v>
      </c>
      <c r="J154" t="str">
        <f t="shared" si="5"/>
        <v>California</v>
      </c>
      <c r="K154" t="str">
        <f t="shared" si="6"/>
        <v>Sutter County</v>
      </c>
      <c r="L154">
        <f t="shared" si="7"/>
        <v>958.7</v>
      </c>
    </row>
    <row r="155" spans="1:12">
      <c r="A155" t="s">
        <v>19</v>
      </c>
      <c r="B155" t="s">
        <v>79</v>
      </c>
      <c r="C155" s="5">
        <v>6</v>
      </c>
      <c r="D155" s="5">
        <v>323</v>
      </c>
      <c r="F155" t="str">
        <f t="shared" si="2"/>
        <v>California</v>
      </c>
      <c r="G155" t="str">
        <f t="shared" si="3"/>
        <v>Tehama County</v>
      </c>
      <c r="H155">
        <f t="shared" si="4"/>
        <v>6</v>
      </c>
      <c r="J155" t="str">
        <f t="shared" si="5"/>
        <v>California</v>
      </c>
      <c r="K155" t="str">
        <f t="shared" si="6"/>
        <v>Tehama County</v>
      </c>
      <c r="L155">
        <f t="shared" si="7"/>
        <v>323</v>
      </c>
    </row>
    <row r="156" spans="1:12">
      <c r="A156" t="s">
        <v>19</v>
      </c>
      <c r="B156" t="s">
        <v>608</v>
      </c>
      <c r="C156" s="5">
        <v>5</v>
      </c>
      <c r="D156" s="5">
        <v>167.70000000000002</v>
      </c>
      <c r="F156" t="str">
        <f t="shared" si="2"/>
        <v>California</v>
      </c>
      <c r="G156" t="str">
        <f t="shared" si="3"/>
        <v>Trinity County</v>
      </c>
      <c r="H156">
        <f t="shared" si="4"/>
        <v>5</v>
      </c>
      <c r="J156" t="str">
        <f t="shared" si="5"/>
        <v>California</v>
      </c>
      <c r="K156" t="str">
        <f t="shared" si="6"/>
        <v>Trinity County</v>
      </c>
      <c r="L156">
        <f t="shared" si="7"/>
        <v>167.70000000000002</v>
      </c>
    </row>
    <row r="157" spans="1:12">
      <c r="A157" t="s">
        <v>19</v>
      </c>
      <c r="B157" t="s">
        <v>113</v>
      </c>
      <c r="C157" s="5">
        <v>94</v>
      </c>
      <c r="D157" s="5">
        <v>3978.5</v>
      </c>
      <c r="F157" t="str">
        <f t="shared" si="2"/>
        <v>California</v>
      </c>
      <c r="G157" t="str">
        <f t="shared" si="3"/>
        <v>Tulare County</v>
      </c>
      <c r="H157">
        <f t="shared" si="4"/>
        <v>94</v>
      </c>
      <c r="J157" t="str">
        <f t="shared" si="5"/>
        <v>California</v>
      </c>
      <c r="K157" t="str">
        <f t="shared" si="6"/>
        <v>Tulare County</v>
      </c>
      <c r="L157">
        <f t="shared" si="7"/>
        <v>3978.5</v>
      </c>
    </row>
    <row r="158" spans="1:12">
      <c r="A158" t="s">
        <v>19</v>
      </c>
      <c r="B158" t="s">
        <v>997</v>
      </c>
      <c r="C158" s="5">
        <v>28</v>
      </c>
      <c r="D158" s="5">
        <v>1405</v>
      </c>
      <c r="F158" t="str">
        <f t="shared" si="2"/>
        <v>California</v>
      </c>
      <c r="G158" t="str">
        <f t="shared" si="3"/>
        <v>Tuolumne County</v>
      </c>
      <c r="H158">
        <f t="shared" si="4"/>
        <v>28</v>
      </c>
      <c r="J158" t="str">
        <f t="shared" si="5"/>
        <v>California</v>
      </c>
      <c r="K158" t="str">
        <f t="shared" si="6"/>
        <v>Tuolumne County</v>
      </c>
      <c r="L158">
        <f t="shared" si="7"/>
        <v>1405</v>
      </c>
    </row>
    <row r="159" spans="1:12">
      <c r="A159" t="s">
        <v>19</v>
      </c>
      <c r="B159" t="s">
        <v>82</v>
      </c>
      <c r="C159" s="5">
        <v>179</v>
      </c>
      <c r="D159" s="5">
        <v>9869.0999999999985</v>
      </c>
      <c r="F159" t="str">
        <f t="shared" si="2"/>
        <v>California</v>
      </c>
      <c r="G159" t="str">
        <f t="shared" si="3"/>
        <v>Ventura County</v>
      </c>
      <c r="H159">
        <f t="shared" si="4"/>
        <v>179</v>
      </c>
      <c r="J159" t="str">
        <f t="shared" si="5"/>
        <v>California</v>
      </c>
      <c r="K159" t="str">
        <f t="shared" si="6"/>
        <v>Ventura County</v>
      </c>
      <c r="L159">
        <f t="shared" si="7"/>
        <v>9869.0999999999985</v>
      </c>
    </row>
    <row r="160" spans="1:12">
      <c r="A160" t="s">
        <v>19</v>
      </c>
      <c r="B160" t="s">
        <v>243</v>
      </c>
      <c r="C160" s="5">
        <v>15</v>
      </c>
      <c r="D160" s="5">
        <v>615.29999999999995</v>
      </c>
      <c r="F160" t="str">
        <f t="shared" si="2"/>
        <v>California</v>
      </c>
      <c r="G160" t="str">
        <f t="shared" si="3"/>
        <v>Yolo County</v>
      </c>
      <c r="H160">
        <f t="shared" si="4"/>
        <v>15</v>
      </c>
      <c r="J160" t="str">
        <f t="shared" si="5"/>
        <v>California</v>
      </c>
      <c r="K160" t="str">
        <f t="shared" si="6"/>
        <v>Yolo County</v>
      </c>
      <c r="L160">
        <f t="shared" si="7"/>
        <v>615.29999999999995</v>
      </c>
    </row>
    <row r="161" spans="1:12">
      <c r="A161" t="s">
        <v>19</v>
      </c>
      <c r="B161" t="s">
        <v>1911</v>
      </c>
      <c r="C161" s="5">
        <v>3</v>
      </c>
      <c r="D161" s="5">
        <v>285</v>
      </c>
      <c r="F161" t="str">
        <f t="shared" si="2"/>
        <v>California</v>
      </c>
      <c r="G161" t="str">
        <f t="shared" si="3"/>
        <v>Yuba County</v>
      </c>
      <c r="H161">
        <f t="shared" si="4"/>
        <v>3</v>
      </c>
      <c r="J161" t="str">
        <f t="shared" si="5"/>
        <v>California</v>
      </c>
      <c r="K161" t="str">
        <f t="shared" si="6"/>
        <v>Yuba County</v>
      </c>
      <c r="L161">
        <f t="shared" si="7"/>
        <v>285</v>
      </c>
    </row>
    <row r="162" spans="1:12">
      <c r="F162" t="str">
        <f t="shared" si="2"/>
        <v/>
      </c>
      <c r="G162" t="str">
        <f t="shared" si="3"/>
        <v/>
      </c>
      <c r="H162" t="str">
        <f t="shared" si="4"/>
        <v/>
      </c>
      <c r="J162" t="str">
        <f t="shared" si="5"/>
        <v/>
      </c>
      <c r="K162" t="str">
        <f t="shared" si="6"/>
        <v/>
      </c>
      <c r="L162" t="str">
        <f t="shared" si="7"/>
        <v/>
      </c>
    </row>
    <row r="163" spans="1:12">
      <c r="F163" t="str">
        <f t="shared" si="2"/>
        <v/>
      </c>
      <c r="G163" t="str">
        <f t="shared" si="3"/>
        <v/>
      </c>
      <c r="H163" t="str">
        <f t="shared" si="4"/>
        <v/>
      </c>
      <c r="J163" t="str">
        <f t="shared" si="5"/>
        <v/>
      </c>
      <c r="K163" t="str">
        <f t="shared" si="6"/>
        <v/>
      </c>
      <c r="L163" t="str">
        <f t="shared" si="7"/>
        <v/>
      </c>
    </row>
    <row r="164" spans="1:12">
      <c r="F164" t="str">
        <f t="shared" si="2"/>
        <v/>
      </c>
      <c r="G164" t="str">
        <f t="shared" si="3"/>
        <v/>
      </c>
      <c r="H164" t="str">
        <f t="shared" si="4"/>
        <v/>
      </c>
      <c r="J164" t="str">
        <f t="shared" si="5"/>
        <v/>
      </c>
      <c r="K164" t="str">
        <f t="shared" si="6"/>
        <v/>
      </c>
      <c r="L164" t="str">
        <f t="shared" si="7"/>
        <v/>
      </c>
    </row>
    <row r="165" spans="1:12">
      <c r="F165" t="str">
        <f t="shared" si="2"/>
        <v/>
      </c>
      <c r="G165" t="str">
        <f t="shared" si="3"/>
        <v/>
      </c>
      <c r="H165" t="str">
        <f t="shared" si="4"/>
        <v/>
      </c>
      <c r="J165" t="str">
        <f t="shared" si="5"/>
        <v/>
      </c>
      <c r="K165" t="str">
        <f t="shared" si="6"/>
        <v/>
      </c>
      <c r="L165" t="str">
        <f t="shared" si="7"/>
        <v/>
      </c>
    </row>
    <row r="166" spans="1:12">
      <c r="F166" t="str">
        <f t="shared" si="2"/>
        <v/>
      </c>
      <c r="G166" t="str">
        <f t="shared" si="3"/>
        <v/>
      </c>
      <c r="H166" t="str">
        <f t="shared" si="4"/>
        <v/>
      </c>
      <c r="J166" t="str">
        <f t="shared" si="5"/>
        <v/>
      </c>
      <c r="K166" t="str">
        <f t="shared" si="6"/>
        <v/>
      </c>
      <c r="L166" t="str">
        <f t="shared" si="7"/>
        <v/>
      </c>
    </row>
    <row r="167" spans="1:12">
      <c r="F167" t="str">
        <f t="shared" si="2"/>
        <v/>
      </c>
      <c r="G167" t="str">
        <f t="shared" si="3"/>
        <v/>
      </c>
      <c r="H167" t="str">
        <f t="shared" si="4"/>
        <v/>
      </c>
      <c r="J167" t="str">
        <f t="shared" si="5"/>
        <v/>
      </c>
      <c r="K167" t="str">
        <f t="shared" si="6"/>
        <v/>
      </c>
      <c r="L167" t="str">
        <f t="shared" si="7"/>
        <v/>
      </c>
    </row>
    <row r="168" spans="1:12">
      <c r="F168" t="str">
        <f t="shared" si="2"/>
        <v/>
      </c>
      <c r="G168" t="str">
        <f t="shared" si="3"/>
        <v/>
      </c>
      <c r="H168" t="str">
        <f t="shared" si="4"/>
        <v/>
      </c>
      <c r="J168" t="str">
        <f t="shared" si="5"/>
        <v/>
      </c>
      <c r="K168" t="str">
        <f t="shared" si="6"/>
        <v/>
      </c>
      <c r="L168" t="str">
        <f t="shared" si="7"/>
        <v/>
      </c>
    </row>
    <row r="169" spans="1:12">
      <c r="F169" t="str">
        <f t="shared" ref="F169:F187" si="8">IF(A169="","",A169)</f>
        <v/>
      </c>
      <c r="G169" t="str">
        <f t="shared" ref="G169:G187" si="9">IF(B169="","",B169)</f>
        <v/>
      </c>
      <c r="H169" t="str">
        <f t="shared" ref="H169:H187" si="10">IF(C169="","",C169)</f>
        <v/>
      </c>
      <c r="J169" t="str">
        <f t="shared" ref="J169:J187" si="11">IF(A169="","",A169)</f>
        <v/>
      </c>
      <c r="K169" t="str">
        <f t="shared" ref="K169:K187" si="12">IF(B169="","",B169)</f>
        <v/>
      </c>
      <c r="L169" t="str">
        <f t="shared" ref="L169:L187" si="13">IF(D169="","",D169)</f>
        <v/>
      </c>
    </row>
    <row r="170" spans="1:12">
      <c r="F170" t="str">
        <f t="shared" si="8"/>
        <v/>
      </c>
      <c r="G170" t="str">
        <f t="shared" si="9"/>
        <v/>
      </c>
      <c r="H170" t="str">
        <f t="shared" si="10"/>
        <v/>
      </c>
      <c r="J170" t="str">
        <f t="shared" si="11"/>
        <v/>
      </c>
      <c r="K170" t="str">
        <f t="shared" si="12"/>
        <v/>
      </c>
      <c r="L170" t="str">
        <f t="shared" si="13"/>
        <v/>
      </c>
    </row>
    <row r="171" spans="1:12">
      <c r="F171" t="str">
        <f t="shared" si="8"/>
        <v/>
      </c>
      <c r="G171" t="str">
        <f t="shared" si="9"/>
        <v/>
      </c>
      <c r="H171" t="str">
        <f t="shared" si="10"/>
        <v/>
      </c>
      <c r="J171" t="str">
        <f t="shared" si="11"/>
        <v/>
      </c>
      <c r="K171" t="str">
        <f t="shared" si="12"/>
        <v/>
      </c>
      <c r="L171" t="str">
        <f t="shared" si="13"/>
        <v/>
      </c>
    </row>
    <row r="172" spans="1:12">
      <c r="F172" t="str">
        <f t="shared" si="8"/>
        <v/>
      </c>
      <c r="G172" t="str">
        <f t="shared" si="9"/>
        <v/>
      </c>
      <c r="H172" t="str">
        <f t="shared" si="10"/>
        <v/>
      </c>
      <c r="J172" t="str">
        <f t="shared" si="11"/>
        <v/>
      </c>
      <c r="K172" t="str">
        <f t="shared" si="12"/>
        <v/>
      </c>
      <c r="L172" t="str">
        <f t="shared" si="13"/>
        <v/>
      </c>
    </row>
    <row r="173" spans="1:12">
      <c r="F173" t="str">
        <f t="shared" si="8"/>
        <v/>
      </c>
      <c r="G173" t="str">
        <f t="shared" si="9"/>
        <v/>
      </c>
      <c r="H173" t="str">
        <f t="shared" si="10"/>
        <v/>
      </c>
      <c r="J173" t="str">
        <f t="shared" si="11"/>
        <v/>
      </c>
      <c r="K173" t="str">
        <f t="shared" si="12"/>
        <v/>
      </c>
      <c r="L173" t="str">
        <f t="shared" si="13"/>
        <v/>
      </c>
    </row>
    <row r="174" spans="1:12">
      <c r="F174" t="str">
        <f t="shared" si="8"/>
        <v/>
      </c>
      <c r="G174" t="str">
        <f t="shared" si="9"/>
        <v/>
      </c>
      <c r="H174" t="str">
        <f t="shared" si="10"/>
        <v/>
      </c>
      <c r="J174" t="str">
        <f t="shared" si="11"/>
        <v/>
      </c>
      <c r="K174" t="str">
        <f t="shared" si="12"/>
        <v/>
      </c>
      <c r="L174" t="str">
        <f t="shared" si="13"/>
        <v/>
      </c>
    </row>
    <row r="175" spans="1:12">
      <c r="F175" t="str">
        <f t="shared" si="8"/>
        <v/>
      </c>
      <c r="G175" t="str">
        <f t="shared" si="9"/>
        <v/>
      </c>
      <c r="H175" t="str">
        <f t="shared" si="10"/>
        <v/>
      </c>
      <c r="J175" t="str">
        <f t="shared" si="11"/>
        <v/>
      </c>
      <c r="K175" t="str">
        <f t="shared" si="12"/>
        <v/>
      </c>
      <c r="L175" t="str">
        <f t="shared" si="13"/>
        <v/>
      </c>
    </row>
    <row r="176" spans="1:12">
      <c r="F176" t="str">
        <f t="shared" si="8"/>
        <v/>
      </c>
      <c r="G176" t="str">
        <f t="shared" si="9"/>
        <v/>
      </c>
      <c r="H176" t="str">
        <f t="shared" si="10"/>
        <v/>
      </c>
      <c r="J176" t="str">
        <f t="shared" si="11"/>
        <v/>
      </c>
      <c r="K176" t="str">
        <f t="shared" si="12"/>
        <v/>
      </c>
      <c r="L176" t="str">
        <f t="shared" si="13"/>
        <v/>
      </c>
    </row>
    <row r="177" spans="1:12">
      <c r="F177" t="str">
        <f t="shared" si="8"/>
        <v/>
      </c>
      <c r="G177" t="str">
        <f t="shared" si="9"/>
        <v/>
      </c>
      <c r="H177" t="str">
        <f t="shared" si="10"/>
        <v/>
      </c>
      <c r="J177" t="str">
        <f t="shared" si="11"/>
        <v/>
      </c>
      <c r="K177" t="str">
        <f t="shared" si="12"/>
        <v/>
      </c>
      <c r="L177" t="str">
        <f t="shared" si="13"/>
        <v/>
      </c>
    </row>
    <row r="178" spans="1:12">
      <c r="F178" t="str">
        <f t="shared" si="8"/>
        <v/>
      </c>
      <c r="G178" t="str">
        <f t="shared" si="9"/>
        <v/>
      </c>
      <c r="H178" t="str">
        <f t="shared" si="10"/>
        <v/>
      </c>
      <c r="J178" t="str">
        <f t="shared" si="11"/>
        <v/>
      </c>
      <c r="K178" t="str">
        <f t="shared" si="12"/>
        <v/>
      </c>
      <c r="L178" t="str">
        <f t="shared" si="13"/>
        <v/>
      </c>
    </row>
    <row r="179" spans="1:12">
      <c r="F179" t="str">
        <f t="shared" si="8"/>
        <v/>
      </c>
      <c r="G179" t="str">
        <f t="shared" si="9"/>
        <v/>
      </c>
      <c r="H179" t="str">
        <f t="shared" si="10"/>
        <v/>
      </c>
      <c r="J179" t="str">
        <f t="shared" si="11"/>
        <v/>
      </c>
      <c r="K179" t="str">
        <f t="shared" si="12"/>
        <v/>
      </c>
      <c r="L179" t="str">
        <f t="shared" si="13"/>
        <v/>
      </c>
    </row>
    <row r="180" spans="1:12">
      <c r="F180" t="str">
        <f t="shared" si="8"/>
        <v/>
      </c>
      <c r="G180" t="str">
        <f t="shared" si="9"/>
        <v/>
      </c>
      <c r="H180" t="str">
        <f t="shared" si="10"/>
        <v/>
      </c>
      <c r="J180" t="str">
        <f t="shared" si="11"/>
        <v/>
      </c>
      <c r="K180" t="str">
        <f t="shared" si="12"/>
        <v/>
      </c>
      <c r="L180" t="str">
        <f t="shared" si="13"/>
        <v/>
      </c>
    </row>
    <row r="181" spans="1:12">
      <c r="F181" t="str">
        <f t="shared" si="8"/>
        <v/>
      </c>
      <c r="G181" t="str">
        <f t="shared" si="9"/>
        <v/>
      </c>
      <c r="H181" t="str">
        <f t="shared" si="10"/>
        <v/>
      </c>
      <c r="J181" t="str">
        <f t="shared" si="11"/>
        <v/>
      </c>
      <c r="K181" t="str">
        <f t="shared" si="12"/>
        <v/>
      </c>
      <c r="L181" t="str">
        <f t="shared" si="13"/>
        <v/>
      </c>
    </row>
    <row r="182" spans="1:12">
      <c r="F182" t="str">
        <f t="shared" si="8"/>
        <v/>
      </c>
      <c r="G182" t="str">
        <f t="shared" si="9"/>
        <v/>
      </c>
      <c r="H182" t="str">
        <f t="shared" si="10"/>
        <v/>
      </c>
      <c r="J182" t="str">
        <f t="shared" si="11"/>
        <v/>
      </c>
      <c r="K182" t="str">
        <f t="shared" si="12"/>
        <v/>
      </c>
      <c r="L182" t="str">
        <f t="shared" si="13"/>
        <v/>
      </c>
    </row>
    <row r="183" spans="1:12">
      <c r="F183" t="str">
        <f t="shared" si="8"/>
        <v/>
      </c>
      <c r="G183" t="str">
        <f t="shared" si="9"/>
        <v/>
      </c>
      <c r="H183" t="str">
        <f t="shared" si="10"/>
        <v/>
      </c>
      <c r="J183" t="str">
        <f t="shared" si="11"/>
        <v/>
      </c>
      <c r="K183" t="str">
        <f t="shared" si="12"/>
        <v/>
      </c>
      <c r="L183" t="str">
        <f t="shared" si="13"/>
        <v/>
      </c>
    </row>
    <row r="184" spans="1:12">
      <c r="F184" t="str">
        <f t="shared" si="8"/>
        <v/>
      </c>
      <c r="G184" t="str">
        <f t="shared" si="9"/>
        <v/>
      </c>
      <c r="H184" t="str">
        <f t="shared" si="10"/>
        <v/>
      </c>
      <c r="J184" t="str">
        <f t="shared" si="11"/>
        <v/>
      </c>
      <c r="K184" t="str">
        <f t="shared" si="12"/>
        <v/>
      </c>
      <c r="L184" t="str">
        <f t="shared" si="13"/>
        <v/>
      </c>
    </row>
    <row r="185" spans="1:12">
      <c r="F185" t="str">
        <f t="shared" si="8"/>
        <v/>
      </c>
      <c r="G185" t="str">
        <f t="shared" si="9"/>
        <v/>
      </c>
      <c r="H185" t="str">
        <f t="shared" si="10"/>
        <v/>
      </c>
      <c r="J185" t="str">
        <f t="shared" si="11"/>
        <v/>
      </c>
      <c r="K185" t="str">
        <f t="shared" si="12"/>
        <v/>
      </c>
      <c r="L185" t="str">
        <f t="shared" si="13"/>
        <v/>
      </c>
    </row>
    <row r="186" spans="1:12">
      <c r="F186" t="str">
        <f t="shared" si="8"/>
        <v/>
      </c>
      <c r="G186" t="str">
        <f t="shared" si="9"/>
        <v/>
      </c>
      <c r="H186" t="str">
        <f t="shared" si="10"/>
        <v/>
      </c>
      <c r="J186" t="str">
        <f t="shared" si="11"/>
        <v/>
      </c>
      <c r="K186" t="str">
        <f t="shared" si="12"/>
        <v/>
      </c>
      <c r="L186" t="str">
        <f t="shared" si="13"/>
        <v/>
      </c>
    </row>
    <row r="187" spans="1:12">
      <c r="F187" t="str">
        <f t="shared" si="8"/>
        <v/>
      </c>
      <c r="G187" t="str">
        <f t="shared" si="9"/>
        <v/>
      </c>
      <c r="H187" t="str">
        <f t="shared" si="10"/>
        <v/>
      </c>
      <c r="J187" t="str">
        <f t="shared" si="11"/>
        <v/>
      </c>
      <c r="K187" t="str">
        <f t="shared" si="12"/>
        <v/>
      </c>
      <c r="L187" t="str">
        <f t="shared" si="13"/>
        <v/>
      </c>
    </row>
    <row r="189" spans="1:12">
      <c r="A189" s="6" t="s">
        <v>2518</v>
      </c>
      <c r="B189" s="6" t="s">
        <v>2532</v>
      </c>
    </row>
    <row r="190" spans="1:12">
      <c r="A190" s="6" t="s">
        <v>2530</v>
      </c>
      <c r="B190">
        <v>1</v>
      </c>
      <c r="C190">
        <v>2</v>
      </c>
      <c r="D190">
        <v>3</v>
      </c>
      <c r="E190">
        <v>4</v>
      </c>
      <c r="F190">
        <v>5</v>
      </c>
      <c r="G190" t="s">
        <v>2529</v>
      </c>
    </row>
    <row r="191" spans="1:12">
      <c r="A191" s="7" t="s">
        <v>2544</v>
      </c>
      <c r="B191" s="5">
        <v>7</v>
      </c>
      <c r="C191" s="5">
        <v>37</v>
      </c>
      <c r="D191" s="5">
        <v>150</v>
      </c>
      <c r="E191" s="5">
        <v>312</v>
      </c>
      <c r="F191" s="5">
        <v>224</v>
      </c>
      <c r="G191" s="5">
        <v>730</v>
      </c>
    </row>
    <row r="192" spans="1:12">
      <c r="A192" s="7" t="s">
        <v>2545</v>
      </c>
      <c r="B192" s="5">
        <v>8</v>
      </c>
      <c r="C192" s="5">
        <v>51</v>
      </c>
      <c r="D192" s="5">
        <v>182</v>
      </c>
      <c r="E192" s="5">
        <v>373</v>
      </c>
      <c r="F192" s="5">
        <v>247</v>
      </c>
      <c r="G192" s="5">
        <v>861</v>
      </c>
    </row>
    <row r="193" spans="1:7">
      <c r="A193" s="7" t="s">
        <v>2546</v>
      </c>
      <c r="B193" s="5">
        <v>6</v>
      </c>
      <c r="C193" s="5">
        <v>39</v>
      </c>
      <c r="D193" s="5">
        <v>163</v>
      </c>
      <c r="E193" s="5">
        <v>351</v>
      </c>
      <c r="F193" s="5">
        <v>250</v>
      </c>
      <c r="G193" s="5">
        <v>809</v>
      </c>
    </row>
    <row r="194" spans="1:7">
      <c r="A194" s="7" t="s">
        <v>2529</v>
      </c>
      <c r="B194" s="5">
        <v>21</v>
      </c>
      <c r="C194" s="5">
        <v>127</v>
      </c>
      <c r="D194" s="5">
        <v>495</v>
      </c>
      <c r="E194" s="5">
        <v>1036</v>
      </c>
      <c r="F194" s="5">
        <v>721</v>
      </c>
      <c r="G194" s="5">
        <v>2400</v>
      </c>
    </row>
    <row r="205" spans="1:7">
      <c r="A205" s="6" t="s">
        <v>2530</v>
      </c>
      <c r="B205" t="s">
        <v>2518</v>
      </c>
    </row>
    <row r="206" spans="1:7">
      <c r="A206" s="7">
        <v>0</v>
      </c>
      <c r="B206" s="5">
        <v>175</v>
      </c>
    </row>
    <row r="207" spans="1:7">
      <c r="A207" s="7">
        <v>1</v>
      </c>
      <c r="B207" s="5">
        <v>888</v>
      </c>
    </row>
    <row r="208" spans="1:7">
      <c r="A208" s="7">
        <v>2</v>
      </c>
      <c r="B208" s="5">
        <v>538</v>
      </c>
    </row>
    <row r="209" spans="1:2">
      <c r="A209" s="7">
        <v>3</v>
      </c>
      <c r="B209" s="5">
        <v>344</v>
      </c>
    </row>
    <row r="210" spans="1:2">
      <c r="A210" s="7">
        <v>4</v>
      </c>
      <c r="B210" s="5">
        <v>200</v>
      </c>
    </row>
    <row r="211" spans="1:2">
      <c r="A211" s="7">
        <v>5</v>
      </c>
      <c r="B211" s="5">
        <v>94</v>
      </c>
    </row>
    <row r="212" spans="1:2">
      <c r="A212" s="7">
        <v>6</v>
      </c>
      <c r="B212" s="5">
        <v>51</v>
      </c>
    </row>
    <row r="213" spans="1:2">
      <c r="A213" s="7">
        <v>7</v>
      </c>
      <c r="B213" s="5">
        <v>32</v>
      </c>
    </row>
    <row r="214" spans="1:2">
      <c r="A214" s="7">
        <v>8</v>
      </c>
      <c r="B214" s="5">
        <v>23</v>
      </c>
    </row>
    <row r="215" spans="1:2">
      <c r="A215" s="7">
        <v>9</v>
      </c>
      <c r="B215" s="5">
        <v>9</v>
      </c>
    </row>
    <row r="216" spans="1:2">
      <c r="A216" s="7">
        <v>10</v>
      </c>
      <c r="B216" s="5">
        <v>8</v>
      </c>
    </row>
    <row r="217" spans="1:2">
      <c r="A217" s="7">
        <v>11</v>
      </c>
      <c r="B217" s="5">
        <v>11</v>
      </c>
    </row>
    <row r="218" spans="1:2">
      <c r="A218" s="7">
        <v>12</v>
      </c>
      <c r="B218" s="5">
        <v>4</v>
      </c>
    </row>
    <row r="219" spans="1:2">
      <c r="A219" s="7">
        <v>13</v>
      </c>
      <c r="B219" s="5">
        <v>10</v>
      </c>
    </row>
    <row r="220" spans="1:2">
      <c r="A220" s="7">
        <v>14</v>
      </c>
      <c r="B220" s="5">
        <v>13</v>
      </c>
    </row>
    <row r="221" spans="1:2">
      <c r="A221" s="7" t="s">
        <v>2529</v>
      </c>
      <c r="B221" s="5">
        <v>2400</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2851B-A69F-4374-A156-D0D9254F12A2}">
  <dimension ref="A2:L10"/>
  <sheetViews>
    <sheetView showGridLines="0" workbookViewId="0">
      <selection activeCell="B7" sqref="B7"/>
    </sheetView>
  </sheetViews>
  <sheetFormatPr defaultRowHeight="14.25"/>
  <cols>
    <col min="1" max="1" width="14.25" bestFit="1" customWidth="1"/>
    <col min="2" max="2" width="16.125" bestFit="1" customWidth="1"/>
    <col min="3" max="3" width="7" bestFit="1" customWidth="1"/>
    <col min="4" max="4" width="6" bestFit="1" customWidth="1"/>
    <col min="5" max="5" width="9.125" bestFit="1" customWidth="1"/>
    <col min="6" max="6" width="11.375" bestFit="1" customWidth="1"/>
    <col min="7" max="7" width="9" customWidth="1"/>
    <col min="8" max="8" width="15.25" customWidth="1"/>
  </cols>
  <sheetData>
    <row r="2" spans="1:12">
      <c r="H2" t="s">
        <v>2537</v>
      </c>
    </row>
    <row r="3" spans="1:12">
      <c r="A3" s="6" t="s">
        <v>2519</v>
      </c>
      <c r="B3" s="6" t="s">
        <v>2532</v>
      </c>
    </row>
    <row r="4" spans="1:12" ht="15" thickBot="1">
      <c r="A4" s="6" t="s">
        <v>2531</v>
      </c>
      <c r="B4" t="s">
        <v>2533</v>
      </c>
      <c r="C4" t="s">
        <v>2534</v>
      </c>
      <c r="D4" t="s">
        <v>2535</v>
      </c>
      <c r="E4" t="s">
        <v>2536</v>
      </c>
      <c r="F4" t="s">
        <v>2529</v>
      </c>
      <c r="H4" s="14"/>
      <c r="I4" s="15" t="str">
        <f>B4</f>
        <v>Female</v>
      </c>
      <c r="J4" s="15" t="str">
        <f t="shared" ref="J4:L5" si="0">C4</f>
        <v>Male</v>
      </c>
      <c r="K4" s="15" t="str">
        <f t="shared" si="0"/>
        <v>Other</v>
      </c>
      <c r="L4" s="16" t="str">
        <f t="shared" si="0"/>
        <v>Unknown</v>
      </c>
    </row>
    <row r="5" spans="1:12" ht="21.95" customHeight="1" thickTop="1" thickBot="1">
      <c r="A5" s="7" t="s">
        <v>18</v>
      </c>
      <c r="B5" s="9">
        <v>0.18961825201634841</v>
      </c>
      <c r="C5" s="9">
        <v>0.12262322351336576</v>
      </c>
      <c r="D5" s="9">
        <v>1.060537752469185E-2</v>
      </c>
      <c r="E5" s="9">
        <v>3.0599220547662797E-2</v>
      </c>
      <c r="F5" s="9">
        <v>0.35344607360206881</v>
      </c>
      <c r="H5" s="17" t="str">
        <f>A5</f>
        <v>App</v>
      </c>
      <c r="I5" s="10">
        <f t="shared" ref="I5" si="1">B5</f>
        <v>0.18961825201634841</v>
      </c>
      <c r="J5" s="10">
        <f t="shared" si="0"/>
        <v>0.12262322351336576</v>
      </c>
      <c r="K5" s="10">
        <f t="shared" si="0"/>
        <v>1.060537752469185E-2</v>
      </c>
      <c r="L5" s="11">
        <f t="shared" si="0"/>
        <v>3.0599220547662797E-2</v>
      </c>
    </row>
    <row r="6" spans="1:12" ht="21.95" customHeight="1" thickTop="1" thickBot="1">
      <c r="A6" s="7" t="s">
        <v>51</v>
      </c>
      <c r="B6" s="9">
        <v>5.0283982091147303E-2</v>
      </c>
      <c r="C6" s="9">
        <v>4.3060781812819873E-2</v>
      </c>
      <c r="D6" s="9">
        <v>1.5320025675641944E-3</v>
      </c>
      <c r="E6" s="9">
        <v>1.7794988689097006E-2</v>
      </c>
      <c r="F6" s="9">
        <v>0.11267175516062837</v>
      </c>
      <c r="H6" s="17" t="str">
        <f t="shared" ref="H6:H9" si="2">A6</f>
        <v>Instagram</v>
      </c>
      <c r="I6" s="10">
        <f t="shared" ref="I6:I9" si="3">B6</f>
        <v>5.0283982091147303E-2</v>
      </c>
      <c r="J6" s="10">
        <f t="shared" ref="J6:J9" si="4">C6</f>
        <v>4.3060781812819873E-2</v>
      </c>
      <c r="K6" s="10">
        <f t="shared" ref="K6:K9" si="5">D6</f>
        <v>1.5320025675641944E-3</v>
      </c>
      <c r="L6" s="11">
        <f t="shared" ref="L6:L9" si="6">E6</f>
        <v>1.7794988689097006E-2</v>
      </c>
    </row>
    <row r="7" spans="1:12" ht="21.95" customHeight="1" thickTop="1" thickBot="1">
      <c r="A7" s="7" t="s">
        <v>70</v>
      </c>
      <c r="B7" s="9">
        <v>6.3496059750411282E-2</v>
      </c>
      <c r="C7" s="9">
        <v>4.6071629863988765E-2</v>
      </c>
      <c r="D7" s="9">
        <v>2.306247051322625E-3</v>
      </c>
      <c r="E7" s="9">
        <v>3.8927934093844286E-3</v>
      </c>
      <c r="F7" s="9">
        <v>0.11576673007510711</v>
      </c>
      <c r="H7" s="17" t="str">
        <f t="shared" si="2"/>
        <v>Partner App</v>
      </c>
      <c r="I7" s="10">
        <f t="shared" si="3"/>
        <v>6.3496059750411282E-2</v>
      </c>
      <c r="J7" s="10">
        <f t="shared" si="4"/>
        <v>4.6071629863988765E-2</v>
      </c>
      <c r="K7" s="10">
        <f t="shared" si="5"/>
        <v>2.306247051322625E-3</v>
      </c>
      <c r="L7" s="11">
        <f t="shared" si="6"/>
        <v>3.8927934093844286E-3</v>
      </c>
    </row>
    <row r="8" spans="1:12" ht="21.95" customHeight="1" thickTop="1" thickBot="1">
      <c r="A8" s="7" t="s">
        <v>40</v>
      </c>
      <c r="B8" s="9">
        <v>9.6337892927149532E-2</v>
      </c>
      <c r="C8" s="9">
        <v>6.7920115842382611E-2</v>
      </c>
      <c r="D8" s="9">
        <v>5.4979832664581261E-3</v>
      </c>
      <c r="E8" s="9">
        <v>1.2933041488102518E-2</v>
      </c>
      <c r="F8" s="9">
        <v>0.1826890335240928</v>
      </c>
      <c r="H8" s="17" t="str">
        <f t="shared" si="2"/>
        <v>Target.com</v>
      </c>
      <c r="I8" s="10">
        <f t="shared" si="3"/>
        <v>9.6337892927149532E-2</v>
      </c>
      <c r="J8" s="10">
        <f t="shared" si="4"/>
        <v>6.7920115842382611E-2</v>
      </c>
      <c r="K8" s="10">
        <f t="shared" si="5"/>
        <v>5.4979832664581261E-3</v>
      </c>
      <c r="L8" s="11">
        <f t="shared" si="6"/>
        <v>1.2933041488102518E-2</v>
      </c>
    </row>
    <row r="9" spans="1:12" ht="21.95" customHeight="1" thickTop="1">
      <c r="A9" s="7" t="s">
        <v>35</v>
      </c>
      <c r="B9" s="9">
        <v>0.12522098709469262</v>
      </c>
      <c r="C9" s="9">
        <v>9.1492740283116228E-2</v>
      </c>
      <c r="D9" s="9">
        <v>6.3042760790965081E-3</v>
      </c>
      <c r="E9" s="9">
        <v>1.2408404181197551E-2</v>
      </c>
      <c r="F9" s="9">
        <v>0.23542640763810288</v>
      </c>
      <c r="H9" s="18" t="str">
        <f t="shared" si="2"/>
        <v>Website</v>
      </c>
      <c r="I9" s="12">
        <f t="shared" si="3"/>
        <v>0.12522098709469262</v>
      </c>
      <c r="J9" s="12">
        <f t="shared" si="4"/>
        <v>9.1492740283116228E-2</v>
      </c>
      <c r="K9" s="12">
        <f t="shared" si="5"/>
        <v>6.3042760790965081E-3</v>
      </c>
      <c r="L9" s="13">
        <f t="shared" si="6"/>
        <v>1.2408404181197551E-2</v>
      </c>
    </row>
    <row r="10" spans="1:12">
      <c r="A10" s="7" t="s">
        <v>2529</v>
      </c>
      <c r="B10" s="9">
        <v>0.52495717387974916</v>
      </c>
      <c r="C10" s="9">
        <v>0.3711684913156732</v>
      </c>
      <c r="D10" s="9">
        <v>2.6245886489133303E-2</v>
      </c>
      <c r="E10" s="9">
        <v>7.7628448315444312E-2</v>
      </c>
      <c r="F10" s="9">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01"/>
  <sheetViews>
    <sheetView topLeftCell="A2" workbookViewId="0">
      <selection activeCell="C8" sqref="C8"/>
    </sheetView>
  </sheetViews>
  <sheetFormatPr defaultRowHeight="14.25"/>
  <cols>
    <col min="1" max="1" width="9.125" bestFit="1" customWidth="1"/>
    <col min="2" max="2" width="19.625" bestFit="1" customWidth="1"/>
    <col min="3" max="3" width="8.25" bestFit="1" customWidth="1"/>
    <col min="4" max="4" width="9.625" bestFit="1" customWidth="1"/>
    <col min="5" max="5" width="7.5" bestFit="1" customWidth="1"/>
    <col min="6" max="6" width="10.75" bestFit="1" customWidth="1"/>
    <col min="7" max="7" width="9.5" bestFit="1" customWidth="1"/>
    <col min="8" max="8" width="16.875" bestFit="1" customWidth="1"/>
    <col min="9" max="9" width="11.625" bestFit="1" customWidth="1"/>
    <col min="10" max="11" width="8.5" bestFit="1" customWidth="1"/>
    <col min="12" max="12" width="20.875" bestFit="1" customWidth="1"/>
    <col min="13" max="13" width="14.5" bestFit="1" customWidth="1"/>
    <col min="14" max="14" width="9.5" bestFit="1" customWidth="1"/>
    <col min="15" max="15" width="13.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8"/>
  <sheetViews>
    <sheetView workbookViewId="0">
      <selection activeCell="B11" sqref="B11"/>
    </sheetView>
  </sheetViews>
  <sheetFormatPr defaultRowHeight="14.25"/>
  <cols>
    <col min="1" max="1" width="3.625" customWidth="1"/>
    <col min="2" max="2" width="52.75" customWidth="1"/>
  </cols>
  <sheetData>
    <row r="2" spans="2:2" ht="15">
      <c r="B2" s="3" t="s">
        <v>2503</v>
      </c>
    </row>
    <row r="3" spans="2:2">
      <c r="B3" s="4" t="s">
        <v>2504</v>
      </c>
    </row>
    <row r="4" spans="2:2">
      <c r="B4" s="4" t="s">
        <v>2505</v>
      </c>
    </row>
    <row r="5" spans="2:2">
      <c r="B5" s="4" t="s">
        <v>2506</v>
      </c>
    </row>
    <row r="6" spans="2:2">
      <c r="B6" s="4" t="s">
        <v>2507</v>
      </c>
    </row>
    <row r="7" spans="2:2">
      <c r="B7" s="4" t="s">
        <v>2508</v>
      </c>
    </row>
    <row r="10" spans="2:2" ht="15">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5"/>
  <sheetViews>
    <sheetView tabSelected="1" workbookViewId="0">
      <selection activeCell="Z1" sqref="Z1:Z1048576"/>
    </sheetView>
  </sheetViews>
  <sheetFormatPr defaultRowHeight="14.25"/>
  <cols>
    <col min="1" max="1" width="3.375" customWidth="1"/>
    <col min="2" max="2" width="22.25" customWidth="1"/>
    <col min="3" max="4" width="3.375" customWidth="1"/>
    <col min="26" max="26" width="3.375" customWidth="1"/>
  </cols>
  <sheetData>
    <row r="15" customFormat="1"/>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Asad ali</cp:lastModifiedBy>
  <dcterms:created xsi:type="dcterms:W3CDTF">2025-06-13T02:42:26Z</dcterms:created>
  <dcterms:modified xsi:type="dcterms:W3CDTF">2026-03-17T09:59:20Z</dcterms:modified>
</cp:coreProperties>
</file>